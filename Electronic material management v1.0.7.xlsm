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c8g\OneDrive\桌面\"/>
    </mc:Choice>
  </mc:AlternateContent>
  <xr:revisionPtr revIDLastSave="0" documentId="13_ncr:1_{C8B20C55-5D08-4692-A03C-15F3FCF6198E}" xr6:coauthVersionLast="47" xr6:coauthVersionMax="47" xr10:uidLastSave="{00000000-0000-0000-0000-000000000000}"/>
  <bookViews>
    <workbookView xWindow="-110" yWindow="-110" windowWidth="38620" windowHeight="21100" activeTab="5" xr2:uid="{00000000-000D-0000-FFFF-FFFF00000000}"/>
  </bookViews>
  <sheets>
    <sheet name="表單" sheetId="1" r:id="rId1"/>
    <sheet name="出入庫" sheetId="2" r:id="rId2"/>
    <sheet name="庫存" sheetId="3" r:id="rId3"/>
    <sheet name="數據庫" sheetId="4" state="hidden" r:id="rId4"/>
    <sheet name="Compare" sheetId="6" r:id="rId5"/>
    <sheet name="PR" sheetId="7" r:id="rId6"/>
    <sheet name="build log" sheetId="8" r:id="rId7"/>
  </sheets>
  <definedNames>
    <definedName name="_xlnm._FilterDatabase" localSheetId="4" hidden="1">Compare!$A$1:$I$1</definedName>
    <definedName name="thumb">PR!$J$2</definedName>
    <definedName name="庫存">出入庫!$A:$G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1" i="7" l="1"/>
  <c r="H51" i="7"/>
  <c r="E51" i="7"/>
  <c r="C51" i="7"/>
  <c r="B51" i="7"/>
  <c r="I50" i="7"/>
  <c r="H50" i="7"/>
  <c r="E50" i="7"/>
  <c r="C50" i="7"/>
  <c r="B50" i="7"/>
  <c r="I49" i="7"/>
  <c r="H49" i="7"/>
  <c r="E49" i="7"/>
  <c r="C49" i="7"/>
  <c r="B49" i="7"/>
  <c r="I48" i="7"/>
  <c r="H48" i="7"/>
  <c r="E48" i="7"/>
  <c r="C48" i="7"/>
  <c r="B48" i="7"/>
  <c r="I47" i="7"/>
  <c r="H47" i="7"/>
  <c r="E47" i="7"/>
  <c r="C47" i="7"/>
  <c r="B47" i="7"/>
  <c r="I46" i="7"/>
  <c r="H46" i="7"/>
  <c r="E46" i="7"/>
  <c r="C46" i="7"/>
  <c r="B46" i="7"/>
  <c r="I45" i="7"/>
  <c r="H45" i="7"/>
  <c r="E45" i="7"/>
  <c r="C45" i="7"/>
  <c r="B45" i="7"/>
  <c r="I44" i="7"/>
  <c r="H44" i="7"/>
  <c r="E44" i="7"/>
  <c r="C44" i="7"/>
  <c r="B44" i="7"/>
  <c r="I43" i="7"/>
  <c r="H43" i="7"/>
  <c r="E43" i="7"/>
  <c r="C43" i="7"/>
  <c r="B43" i="7"/>
  <c r="I42" i="7"/>
  <c r="H42" i="7"/>
  <c r="E42" i="7"/>
  <c r="C42" i="7"/>
  <c r="B42" i="7"/>
  <c r="I41" i="7"/>
  <c r="H41" i="7"/>
  <c r="E41" i="7"/>
  <c r="C41" i="7"/>
  <c r="B41" i="7"/>
  <c r="I40" i="7"/>
  <c r="H40" i="7"/>
  <c r="E40" i="7"/>
  <c r="C40" i="7"/>
  <c r="B40" i="7"/>
  <c r="I39" i="7"/>
  <c r="H39" i="7"/>
  <c r="E39" i="7"/>
  <c r="C39" i="7"/>
  <c r="B39" i="7"/>
  <c r="I38" i="7"/>
  <c r="H38" i="7"/>
  <c r="E38" i="7"/>
  <c r="C38" i="7"/>
  <c r="B38" i="7"/>
  <c r="I37" i="7"/>
  <c r="H37" i="7"/>
  <c r="E37" i="7"/>
  <c r="C37" i="7"/>
  <c r="B37" i="7"/>
  <c r="I36" i="7"/>
  <c r="H36" i="7"/>
  <c r="E36" i="7"/>
  <c r="C36" i="7"/>
  <c r="B36" i="7"/>
  <c r="I35" i="7"/>
  <c r="H35" i="7"/>
  <c r="E35" i="7"/>
  <c r="C35" i="7"/>
  <c r="B35" i="7"/>
  <c r="I34" i="7"/>
  <c r="H34" i="7"/>
  <c r="E34" i="7"/>
  <c r="C34" i="7"/>
  <c r="B34" i="7"/>
  <c r="I33" i="7"/>
  <c r="H33" i="7"/>
  <c r="E33" i="7"/>
  <c r="C33" i="7"/>
  <c r="B33" i="7"/>
  <c r="I32" i="7"/>
  <c r="H32" i="7"/>
  <c r="E32" i="7"/>
  <c r="C32" i="7"/>
  <c r="B32" i="7"/>
  <c r="I31" i="7"/>
  <c r="H31" i="7"/>
  <c r="E31" i="7"/>
  <c r="C31" i="7"/>
  <c r="B31" i="7"/>
  <c r="I30" i="7"/>
  <c r="H30" i="7"/>
  <c r="E30" i="7"/>
  <c r="C30" i="7"/>
  <c r="B30" i="7"/>
  <c r="I29" i="7"/>
  <c r="H29" i="7"/>
  <c r="E29" i="7"/>
  <c r="C29" i="7"/>
  <c r="B29" i="7"/>
  <c r="I28" i="7"/>
  <c r="H28" i="7"/>
  <c r="E28" i="7"/>
  <c r="C28" i="7"/>
  <c r="B28" i="7"/>
  <c r="I27" i="7"/>
  <c r="H27" i="7"/>
  <c r="E27" i="7"/>
  <c r="C27" i="7"/>
  <c r="B27" i="7"/>
  <c r="I26" i="7"/>
  <c r="H26" i="7"/>
  <c r="E26" i="7"/>
  <c r="C26" i="7"/>
  <c r="B26" i="7"/>
  <c r="I25" i="7"/>
  <c r="H25" i="7"/>
  <c r="E25" i="7"/>
  <c r="C25" i="7"/>
  <c r="B25" i="7"/>
  <c r="I24" i="7"/>
  <c r="H24" i="7"/>
  <c r="E24" i="7"/>
  <c r="C24" i="7"/>
  <c r="B24" i="7"/>
  <c r="I23" i="7"/>
  <c r="H23" i="7"/>
  <c r="E23" i="7"/>
  <c r="C23" i="7"/>
  <c r="B23" i="7"/>
  <c r="I22" i="7"/>
  <c r="H22" i="7"/>
  <c r="E22" i="7"/>
  <c r="C22" i="7"/>
  <c r="B22" i="7"/>
  <c r="I21" i="7"/>
  <c r="H21" i="7"/>
  <c r="E21" i="7"/>
  <c r="C21" i="7"/>
  <c r="B21" i="7"/>
  <c r="I20" i="7"/>
  <c r="H20" i="7"/>
  <c r="E20" i="7"/>
  <c r="C20" i="7"/>
  <c r="B20" i="7"/>
  <c r="I19" i="7"/>
  <c r="H19" i="7"/>
  <c r="E19" i="7"/>
  <c r="C19" i="7"/>
  <c r="B19" i="7"/>
  <c r="I18" i="7"/>
  <c r="H18" i="7"/>
  <c r="E18" i="7"/>
  <c r="C18" i="7"/>
  <c r="B18" i="7"/>
  <c r="I17" i="7"/>
  <c r="H17" i="7"/>
  <c r="E17" i="7"/>
  <c r="C17" i="7"/>
  <c r="B17" i="7"/>
  <c r="I16" i="7"/>
  <c r="H16" i="7"/>
  <c r="E16" i="7"/>
  <c r="C16" i="7"/>
  <c r="B16" i="7"/>
  <c r="I15" i="7"/>
  <c r="H15" i="7"/>
  <c r="E15" i="7"/>
  <c r="C15" i="7"/>
  <c r="B15" i="7"/>
  <c r="I14" i="7"/>
  <c r="H14" i="7"/>
  <c r="E14" i="7"/>
  <c r="C14" i="7"/>
  <c r="B14" i="7"/>
  <c r="I13" i="7"/>
  <c r="H13" i="7"/>
  <c r="E13" i="7"/>
  <c r="C13" i="7"/>
  <c r="B13" i="7"/>
  <c r="I12" i="7"/>
  <c r="H12" i="7"/>
  <c r="E12" i="7"/>
  <c r="C12" i="7"/>
  <c r="B12" i="7"/>
  <c r="I11" i="7"/>
  <c r="H11" i="7"/>
  <c r="E11" i="7"/>
  <c r="C11" i="7"/>
  <c r="B11" i="7"/>
  <c r="I10" i="7"/>
  <c r="H10" i="7"/>
  <c r="E10" i="7"/>
  <c r="C10" i="7"/>
  <c r="B10" i="7"/>
  <c r="I9" i="7"/>
  <c r="H9" i="7"/>
  <c r="E9" i="7"/>
  <c r="C9" i="7"/>
  <c r="B9" i="7"/>
  <c r="I8" i="7"/>
  <c r="H8" i="7"/>
  <c r="E8" i="7"/>
  <c r="C8" i="7"/>
  <c r="B8" i="7"/>
  <c r="I7" i="7"/>
  <c r="H7" i="7"/>
  <c r="E7" i="7"/>
  <c r="C7" i="7"/>
  <c r="B7" i="7"/>
  <c r="I6" i="7"/>
  <c r="H6" i="7"/>
  <c r="E6" i="7"/>
  <c r="C6" i="7"/>
  <c r="B6" i="7"/>
  <c r="I5" i="7"/>
  <c r="H5" i="7"/>
  <c r="E5" i="7"/>
  <c r="C5" i="7"/>
  <c r="B5" i="7"/>
  <c r="I4" i="7"/>
  <c r="H4" i="7"/>
  <c r="E4" i="7"/>
  <c r="C4" i="7"/>
  <c r="B4" i="7"/>
  <c r="I3" i="7"/>
  <c r="H3" i="7"/>
  <c r="E3" i="7"/>
  <c r="C3" i="7"/>
  <c r="B3" i="7"/>
  <c r="I2" i="7"/>
  <c r="H2" i="7"/>
  <c r="E2" i="7"/>
  <c r="C2" i="7"/>
  <c r="B2" i="7"/>
  <c r="D395" i="3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I2" i="6"/>
  <c r="H2" i="6"/>
  <c r="F117" i="6"/>
  <c r="F118" i="6"/>
  <c r="F119" i="6"/>
  <c r="F120" i="6"/>
  <c r="F121" i="6"/>
  <c r="G121" i="6" s="1"/>
  <c r="F122" i="6"/>
  <c r="F123" i="6"/>
  <c r="F124" i="6"/>
  <c r="G124" i="6" s="1"/>
  <c r="F125" i="6"/>
  <c r="G125" i="6" s="1"/>
  <c r="F126" i="6"/>
  <c r="F127" i="6"/>
  <c r="F128" i="6"/>
  <c r="F129" i="6"/>
  <c r="F130" i="6"/>
  <c r="F131" i="6"/>
  <c r="F132" i="6"/>
  <c r="F133" i="6"/>
  <c r="G133" i="6" s="1"/>
  <c r="F134" i="6"/>
  <c r="F135" i="6"/>
  <c r="F136" i="6"/>
  <c r="G136" i="6" s="1"/>
  <c r="F137" i="6"/>
  <c r="G137" i="6" s="1"/>
  <c r="F138" i="6"/>
  <c r="F139" i="6"/>
  <c r="F140" i="6"/>
  <c r="F141" i="6"/>
  <c r="F142" i="6"/>
  <c r="F143" i="6"/>
  <c r="F144" i="6"/>
  <c r="F145" i="6"/>
  <c r="G145" i="6" s="1"/>
  <c r="F146" i="6"/>
  <c r="F147" i="6"/>
  <c r="F148" i="6"/>
  <c r="G148" i="6" s="1"/>
  <c r="F149" i="6"/>
  <c r="G149" i="6" s="1"/>
  <c r="F150" i="6"/>
  <c r="F151" i="6"/>
  <c r="F152" i="6"/>
  <c r="F153" i="6"/>
  <c r="F154" i="6"/>
  <c r="F155" i="6"/>
  <c r="F156" i="6"/>
  <c r="F157" i="6"/>
  <c r="G157" i="6" s="1"/>
  <c r="F158" i="6"/>
  <c r="F159" i="6"/>
  <c r="F160" i="6"/>
  <c r="G160" i="6" s="1"/>
  <c r="F161" i="6"/>
  <c r="G161" i="6" s="1"/>
  <c r="F162" i="6"/>
  <c r="F163" i="6"/>
  <c r="F164" i="6"/>
  <c r="F165" i="6"/>
  <c r="F166" i="6"/>
  <c r="F167" i="6"/>
  <c r="F168" i="6"/>
  <c r="F169" i="6"/>
  <c r="G169" i="6" s="1"/>
  <c r="F170" i="6"/>
  <c r="F171" i="6"/>
  <c r="F172" i="6"/>
  <c r="G172" i="6" s="1"/>
  <c r="F173" i="6"/>
  <c r="G173" i="6" s="1"/>
  <c r="F174" i="6"/>
  <c r="F175" i="6"/>
  <c r="F176" i="6"/>
  <c r="F177" i="6"/>
  <c r="F178" i="6"/>
  <c r="F179" i="6"/>
  <c r="F180" i="6"/>
  <c r="F181" i="6"/>
  <c r="G181" i="6" s="1"/>
  <c r="F182" i="6"/>
  <c r="F183" i="6"/>
  <c r="F184" i="6"/>
  <c r="G184" i="6" s="1"/>
  <c r="F185" i="6"/>
  <c r="G185" i="6" s="1"/>
  <c r="F186" i="6"/>
  <c r="F187" i="6"/>
  <c r="F188" i="6"/>
  <c r="F189" i="6"/>
  <c r="F190" i="6"/>
  <c r="F191" i="6"/>
  <c r="F192" i="6"/>
  <c r="F193" i="6"/>
  <c r="G193" i="6" s="1"/>
  <c r="F194" i="6"/>
  <c r="F195" i="6"/>
  <c r="F196" i="6"/>
  <c r="G196" i="6" s="1"/>
  <c r="F197" i="6"/>
  <c r="G197" i="6" s="1"/>
  <c r="F198" i="6"/>
  <c r="F199" i="6"/>
  <c r="F200" i="6"/>
  <c r="F201" i="6"/>
  <c r="F202" i="6"/>
  <c r="F203" i="6"/>
  <c r="F204" i="6"/>
  <c r="F205" i="6"/>
  <c r="G205" i="6" s="1"/>
  <c r="F206" i="6"/>
  <c r="F207" i="6"/>
  <c r="F208" i="6"/>
  <c r="G208" i="6" s="1"/>
  <c r="F209" i="6"/>
  <c r="G209" i="6" s="1"/>
  <c r="F210" i="6"/>
  <c r="F211" i="6"/>
  <c r="F212" i="6"/>
  <c r="F213" i="6"/>
  <c r="F214" i="6"/>
  <c r="F215" i="6"/>
  <c r="F216" i="6"/>
  <c r="F217" i="6"/>
  <c r="G217" i="6" s="1"/>
  <c r="F218" i="6"/>
  <c r="F219" i="6"/>
  <c r="F220" i="6"/>
  <c r="G220" i="6" s="1"/>
  <c r="F221" i="6"/>
  <c r="G221" i="6" s="1"/>
  <c r="F222" i="6"/>
  <c r="F223" i="6"/>
  <c r="F224" i="6"/>
  <c r="F225" i="6"/>
  <c r="F226" i="6"/>
  <c r="F227" i="6"/>
  <c r="F228" i="6"/>
  <c r="F229" i="6"/>
  <c r="G229" i="6" s="1"/>
  <c r="F230" i="6"/>
  <c r="F231" i="6"/>
  <c r="F232" i="6"/>
  <c r="G232" i="6" s="1"/>
  <c r="F233" i="6"/>
  <c r="G233" i="6" s="1"/>
  <c r="F234" i="6"/>
  <c r="F235" i="6"/>
  <c r="F236" i="6"/>
  <c r="F237" i="6"/>
  <c r="F238" i="6"/>
  <c r="F239" i="6"/>
  <c r="F240" i="6"/>
  <c r="F241" i="6"/>
  <c r="G241" i="6" s="1"/>
  <c r="F242" i="6"/>
  <c r="F243" i="6"/>
  <c r="F244" i="6"/>
  <c r="G244" i="6" s="1"/>
  <c r="F245" i="6"/>
  <c r="G245" i="6" s="1"/>
  <c r="F246" i="6"/>
  <c r="F247" i="6"/>
  <c r="F248" i="6"/>
  <c r="F249" i="6"/>
  <c r="F250" i="6"/>
  <c r="F251" i="6"/>
  <c r="F252" i="6"/>
  <c r="F253" i="6"/>
  <c r="G253" i="6" s="1"/>
  <c r="F254" i="6"/>
  <c r="F255" i="6"/>
  <c r="F256" i="6"/>
  <c r="G256" i="6" s="1"/>
  <c r="F257" i="6"/>
  <c r="G257" i="6" s="1"/>
  <c r="F258" i="6"/>
  <c r="F259" i="6"/>
  <c r="F260" i="6"/>
  <c r="F261" i="6"/>
  <c r="F262" i="6"/>
  <c r="F263" i="6"/>
  <c r="F264" i="6"/>
  <c r="F265" i="6"/>
  <c r="G265" i="6" s="1"/>
  <c r="F266" i="6"/>
  <c r="F267" i="6"/>
  <c r="F268" i="6"/>
  <c r="G268" i="6" s="1"/>
  <c r="F269" i="6"/>
  <c r="G269" i="6" s="1"/>
  <c r="F270" i="6"/>
  <c r="F271" i="6"/>
  <c r="F272" i="6"/>
  <c r="F273" i="6"/>
  <c r="F274" i="6"/>
  <c r="F275" i="6"/>
  <c r="F276" i="6"/>
  <c r="F277" i="6"/>
  <c r="G277" i="6" s="1"/>
  <c r="F278" i="6"/>
  <c r="F279" i="6"/>
  <c r="F280" i="6"/>
  <c r="G280" i="6" s="1"/>
  <c r="F281" i="6"/>
  <c r="G281" i="6" s="1"/>
  <c r="F282" i="6"/>
  <c r="F283" i="6"/>
  <c r="F284" i="6"/>
  <c r="F285" i="6"/>
  <c r="F286" i="6"/>
  <c r="F287" i="6"/>
  <c r="F288" i="6"/>
  <c r="F289" i="6"/>
  <c r="G289" i="6" s="1"/>
  <c r="F290" i="6"/>
  <c r="F291" i="6"/>
  <c r="F292" i="6"/>
  <c r="G292" i="6" s="1"/>
  <c r="F293" i="6"/>
  <c r="G293" i="6" s="1"/>
  <c r="F294" i="6"/>
  <c r="F295" i="6"/>
  <c r="F296" i="6"/>
  <c r="F297" i="6"/>
  <c r="F298" i="6"/>
  <c r="F299" i="6"/>
  <c r="F300" i="6"/>
  <c r="F301" i="6"/>
  <c r="G301" i="6" s="1"/>
  <c r="F302" i="6"/>
  <c r="F303" i="6"/>
  <c r="F304" i="6"/>
  <c r="G304" i="6" s="1"/>
  <c r="F305" i="6"/>
  <c r="G305" i="6" s="1"/>
  <c r="F306" i="6"/>
  <c r="F307" i="6"/>
  <c r="F308" i="6"/>
  <c r="F309" i="6"/>
  <c r="F310" i="6"/>
  <c r="F311" i="6"/>
  <c r="F312" i="6"/>
  <c r="F313" i="6"/>
  <c r="G313" i="6" s="1"/>
  <c r="F314" i="6"/>
  <c r="F315" i="6"/>
  <c r="F316" i="6"/>
  <c r="G316" i="6" s="1"/>
  <c r="F317" i="6"/>
  <c r="G317" i="6" s="1"/>
  <c r="F318" i="6"/>
  <c r="F319" i="6"/>
  <c r="F320" i="6"/>
  <c r="F321" i="6"/>
  <c r="F322" i="6"/>
  <c r="F323" i="6"/>
  <c r="F324" i="6"/>
  <c r="F325" i="6"/>
  <c r="G325" i="6" s="1"/>
  <c r="F326" i="6"/>
  <c r="F327" i="6"/>
  <c r="F328" i="6"/>
  <c r="G328" i="6" s="1"/>
  <c r="F329" i="6"/>
  <c r="G329" i="6" s="1"/>
  <c r="F330" i="6"/>
  <c r="F331" i="6"/>
  <c r="F332" i="6"/>
  <c r="F333" i="6"/>
  <c r="F334" i="6"/>
  <c r="F335" i="6"/>
  <c r="F336" i="6"/>
  <c r="F337" i="6"/>
  <c r="G337" i="6" s="1"/>
  <c r="F338" i="6"/>
  <c r="F339" i="6"/>
  <c r="F340" i="6"/>
  <c r="G340" i="6" s="1"/>
  <c r="F341" i="6"/>
  <c r="G341" i="6" s="1"/>
  <c r="F342" i="6"/>
  <c r="F343" i="6"/>
  <c r="F344" i="6"/>
  <c r="F345" i="6"/>
  <c r="F346" i="6"/>
  <c r="F347" i="6"/>
  <c r="F348" i="6"/>
  <c r="F349" i="6"/>
  <c r="G349" i="6" s="1"/>
  <c r="F350" i="6"/>
  <c r="F351" i="6"/>
  <c r="F352" i="6"/>
  <c r="G352" i="6" s="1"/>
  <c r="F353" i="6"/>
  <c r="G353" i="6" s="1"/>
  <c r="F354" i="6"/>
  <c r="F355" i="6"/>
  <c r="F356" i="6"/>
  <c r="F357" i="6"/>
  <c r="F358" i="6"/>
  <c r="F359" i="6"/>
  <c r="F360" i="6"/>
  <c r="F361" i="6"/>
  <c r="G361" i="6" s="1"/>
  <c r="F362" i="6"/>
  <c r="F363" i="6"/>
  <c r="F364" i="6"/>
  <c r="G364" i="6" s="1"/>
  <c r="F365" i="6"/>
  <c r="G365" i="6" s="1"/>
  <c r="F366" i="6"/>
  <c r="F367" i="6"/>
  <c r="F368" i="6"/>
  <c r="F369" i="6"/>
  <c r="F370" i="6"/>
  <c r="F371" i="6"/>
  <c r="F372" i="6"/>
  <c r="F373" i="6"/>
  <c r="G373" i="6" s="1"/>
  <c r="F374" i="6"/>
  <c r="F375" i="6"/>
  <c r="F376" i="6"/>
  <c r="G376" i="6" s="1"/>
  <c r="F377" i="6"/>
  <c r="G377" i="6" s="1"/>
  <c r="F378" i="6"/>
  <c r="F379" i="6"/>
  <c r="F380" i="6"/>
  <c r="F381" i="6"/>
  <c r="F382" i="6"/>
  <c r="F383" i="6"/>
  <c r="F384" i="6"/>
  <c r="F385" i="6"/>
  <c r="G385" i="6" s="1"/>
  <c r="F386" i="6"/>
  <c r="F387" i="6"/>
  <c r="F388" i="6"/>
  <c r="G388" i="6" s="1"/>
  <c r="F389" i="6"/>
  <c r="G389" i="6" s="1"/>
  <c r="F390" i="6"/>
  <c r="F391" i="6"/>
  <c r="F392" i="6"/>
  <c r="F393" i="6"/>
  <c r="F394" i="6"/>
  <c r="F395" i="6"/>
  <c r="F396" i="6"/>
  <c r="F397" i="6"/>
  <c r="G397" i="6" s="1"/>
  <c r="F398" i="6"/>
  <c r="F399" i="6"/>
  <c r="F400" i="6"/>
  <c r="G400" i="6" s="1"/>
  <c r="F401" i="6"/>
  <c r="G401" i="6" s="1"/>
  <c r="F402" i="6"/>
  <c r="F403" i="6"/>
  <c r="F404" i="6"/>
  <c r="F405" i="6"/>
  <c r="F406" i="6"/>
  <c r="F407" i="6"/>
  <c r="F408" i="6"/>
  <c r="F409" i="6"/>
  <c r="G409" i="6" s="1"/>
  <c r="F410" i="6"/>
  <c r="F411" i="6"/>
  <c r="F412" i="6"/>
  <c r="G412" i="6" s="1"/>
  <c r="F413" i="6"/>
  <c r="G413" i="6" s="1"/>
  <c r="F414" i="6"/>
  <c r="F415" i="6"/>
  <c r="F416" i="6"/>
  <c r="F417" i="6"/>
  <c r="F418" i="6"/>
  <c r="F419" i="6"/>
  <c r="F420" i="6"/>
  <c r="F421" i="6"/>
  <c r="G421" i="6" s="1"/>
  <c r="F422" i="6"/>
  <c r="F423" i="6"/>
  <c r="F424" i="6"/>
  <c r="G424" i="6" s="1"/>
  <c r="F425" i="6"/>
  <c r="G425" i="6" s="1"/>
  <c r="F426" i="6"/>
  <c r="F427" i="6"/>
  <c r="F428" i="6"/>
  <c r="F429" i="6"/>
  <c r="F430" i="6"/>
  <c r="F431" i="6"/>
  <c r="F432" i="6"/>
  <c r="F433" i="6"/>
  <c r="G433" i="6" s="1"/>
  <c r="F434" i="6"/>
  <c r="F435" i="6"/>
  <c r="F436" i="6"/>
  <c r="G436" i="6" s="1"/>
  <c r="F437" i="6"/>
  <c r="G437" i="6" s="1"/>
  <c r="F438" i="6"/>
  <c r="F439" i="6"/>
  <c r="F440" i="6"/>
  <c r="F441" i="6"/>
  <c r="F442" i="6"/>
  <c r="F443" i="6"/>
  <c r="F444" i="6"/>
  <c r="F445" i="6"/>
  <c r="G445" i="6" s="1"/>
  <c r="F446" i="6"/>
  <c r="F447" i="6"/>
  <c r="F448" i="6"/>
  <c r="G448" i="6" s="1"/>
  <c r="F449" i="6"/>
  <c r="G449" i="6" s="1"/>
  <c r="F450" i="6"/>
  <c r="F451" i="6"/>
  <c r="F452" i="6"/>
  <c r="F453" i="6"/>
  <c r="F454" i="6"/>
  <c r="F455" i="6"/>
  <c r="F456" i="6"/>
  <c r="F457" i="6"/>
  <c r="G457" i="6" s="1"/>
  <c r="F458" i="6"/>
  <c r="F459" i="6"/>
  <c r="F460" i="6"/>
  <c r="G460" i="6" s="1"/>
  <c r="F461" i="6"/>
  <c r="G461" i="6" s="1"/>
  <c r="F462" i="6"/>
  <c r="F463" i="6"/>
  <c r="F464" i="6"/>
  <c r="F465" i="6"/>
  <c r="F466" i="6"/>
  <c r="F467" i="6"/>
  <c r="F468" i="6"/>
  <c r="F469" i="6"/>
  <c r="G469" i="6" s="1"/>
  <c r="F470" i="6"/>
  <c r="F471" i="6"/>
  <c r="F472" i="6"/>
  <c r="G472" i="6" s="1"/>
  <c r="F473" i="6"/>
  <c r="G473" i="6" s="1"/>
  <c r="F474" i="6"/>
  <c r="F475" i="6"/>
  <c r="F476" i="6"/>
  <c r="F477" i="6"/>
  <c r="F478" i="6"/>
  <c r="F479" i="6"/>
  <c r="F480" i="6"/>
  <c r="F481" i="6"/>
  <c r="G481" i="6" s="1"/>
  <c r="F482" i="6"/>
  <c r="F483" i="6"/>
  <c r="F484" i="6"/>
  <c r="G484" i="6" s="1"/>
  <c r="F485" i="6"/>
  <c r="G485" i="6" s="1"/>
  <c r="F486" i="6"/>
  <c r="F487" i="6"/>
  <c r="F488" i="6"/>
  <c r="F489" i="6"/>
  <c r="F490" i="6"/>
  <c r="F491" i="6"/>
  <c r="F492" i="6"/>
  <c r="F493" i="6"/>
  <c r="G493" i="6" s="1"/>
  <c r="F494" i="6"/>
  <c r="F495" i="6"/>
  <c r="F496" i="6"/>
  <c r="G496" i="6" s="1"/>
  <c r="F497" i="6"/>
  <c r="G497" i="6" s="1"/>
  <c r="F498" i="6"/>
  <c r="F499" i="6"/>
  <c r="F500" i="6"/>
  <c r="F501" i="6"/>
  <c r="F502" i="6"/>
  <c r="F503" i="6"/>
  <c r="F504" i="6"/>
  <c r="F505" i="6"/>
  <c r="G505" i="6" s="1"/>
  <c r="F506" i="6"/>
  <c r="F507" i="6"/>
  <c r="F508" i="6"/>
  <c r="G508" i="6" s="1"/>
  <c r="F509" i="6"/>
  <c r="G509" i="6" s="1"/>
  <c r="F510" i="6"/>
  <c r="F511" i="6"/>
  <c r="F512" i="6"/>
  <c r="F513" i="6"/>
  <c r="F514" i="6"/>
  <c r="F515" i="6"/>
  <c r="F516" i="6"/>
  <c r="F517" i="6"/>
  <c r="G517" i="6" s="1"/>
  <c r="F518" i="6"/>
  <c r="F519" i="6"/>
  <c r="F520" i="6"/>
  <c r="G520" i="6" s="1"/>
  <c r="F521" i="6"/>
  <c r="G521" i="6" s="1"/>
  <c r="F522" i="6"/>
  <c r="F523" i="6"/>
  <c r="F524" i="6"/>
  <c r="F525" i="6"/>
  <c r="F526" i="6"/>
  <c r="F527" i="6"/>
  <c r="F528" i="6"/>
  <c r="F529" i="6"/>
  <c r="G529" i="6" s="1"/>
  <c r="F530" i="6"/>
  <c r="F531" i="6"/>
  <c r="F532" i="6"/>
  <c r="G532" i="6" s="1"/>
  <c r="F533" i="6"/>
  <c r="G533" i="6" s="1"/>
  <c r="F534" i="6"/>
  <c r="F535" i="6"/>
  <c r="F536" i="6"/>
  <c r="F537" i="6"/>
  <c r="F538" i="6"/>
  <c r="F539" i="6"/>
  <c r="F540" i="6"/>
  <c r="F541" i="6"/>
  <c r="G541" i="6" s="1"/>
  <c r="F542" i="6"/>
  <c r="F543" i="6"/>
  <c r="F544" i="6"/>
  <c r="G544" i="6" s="1"/>
  <c r="F545" i="6"/>
  <c r="G545" i="6" s="1"/>
  <c r="F546" i="6"/>
  <c r="F547" i="6"/>
  <c r="F548" i="6"/>
  <c r="F549" i="6"/>
  <c r="F550" i="6"/>
  <c r="F551" i="6"/>
  <c r="F552" i="6"/>
  <c r="F553" i="6"/>
  <c r="G553" i="6" s="1"/>
  <c r="F554" i="6"/>
  <c r="F555" i="6"/>
  <c r="F556" i="6"/>
  <c r="G556" i="6" s="1"/>
  <c r="F557" i="6"/>
  <c r="G557" i="6" s="1"/>
  <c r="F558" i="6"/>
  <c r="F559" i="6"/>
  <c r="F560" i="6"/>
  <c r="F561" i="6"/>
  <c r="F562" i="6"/>
  <c r="F563" i="6"/>
  <c r="F564" i="6"/>
  <c r="F565" i="6"/>
  <c r="G565" i="6" s="1"/>
  <c r="F566" i="6"/>
  <c r="F567" i="6"/>
  <c r="F568" i="6"/>
  <c r="G568" i="6" s="1"/>
  <c r="F569" i="6"/>
  <c r="G569" i="6" s="1"/>
  <c r="F570" i="6"/>
  <c r="F571" i="6"/>
  <c r="F572" i="6"/>
  <c r="F573" i="6"/>
  <c r="F574" i="6"/>
  <c r="F575" i="6"/>
  <c r="F576" i="6"/>
  <c r="F577" i="6"/>
  <c r="G577" i="6" s="1"/>
  <c r="F578" i="6"/>
  <c r="F579" i="6"/>
  <c r="F580" i="6"/>
  <c r="G580" i="6" s="1"/>
  <c r="F581" i="6"/>
  <c r="G581" i="6" s="1"/>
  <c r="F582" i="6"/>
  <c r="F583" i="6"/>
  <c r="F584" i="6"/>
  <c r="F585" i="6"/>
  <c r="F586" i="6"/>
  <c r="F587" i="6"/>
  <c r="F588" i="6"/>
  <c r="F589" i="6"/>
  <c r="G589" i="6" s="1"/>
  <c r="F590" i="6"/>
  <c r="F591" i="6"/>
  <c r="F592" i="6"/>
  <c r="G592" i="6" s="1"/>
  <c r="F593" i="6"/>
  <c r="G593" i="6" s="1"/>
  <c r="F594" i="6"/>
  <c r="F595" i="6"/>
  <c r="F596" i="6"/>
  <c r="F597" i="6"/>
  <c r="F598" i="6"/>
  <c r="F599" i="6"/>
  <c r="F600" i="6"/>
  <c r="F601" i="6"/>
  <c r="G601" i="6" s="1"/>
  <c r="F602" i="6"/>
  <c r="F603" i="6"/>
  <c r="F604" i="6"/>
  <c r="G604" i="6" s="1"/>
  <c r="F605" i="6"/>
  <c r="G605" i="6" s="1"/>
  <c r="F606" i="6"/>
  <c r="F607" i="6"/>
  <c r="F608" i="6"/>
  <c r="F609" i="6"/>
  <c r="F610" i="6"/>
  <c r="F611" i="6"/>
  <c r="F612" i="6"/>
  <c r="F613" i="6"/>
  <c r="G613" i="6" s="1"/>
  <c r="F614" i="6"/>
  <c r="F615" i="6"/>
  <c r="F616" i="6"/>
  <c r="G616" i="6" s="1"/>
  <c r="F617" i="6"/>
  <c r="G617" i="6" s="1"/>
  <c r="F618" i="6"/>
  <c r="F619" i="6"/>
  <c r="F620" i="6"/>
  <c r="F621" i="6"/>
  <c r="F622" i="6"/>
  <c r="F623" i="6"/>
  <c r="F624" i="6"/>
  <c r="F625" i="6"/>
  <c r="G625" i="6" s="1"/>
  <c r="F626" i="6"/>
  <c r="F627" i="6"/>
  <c r="F628" i="6"/>
  <c r="G628" i="6" s="1"/>
  <c r="F629" i="6"/>
  <c r="G629" i="6" s="1"/>
  <c r="F630" i="6"/>
  <c r="F631" i="6"/>
  <c r="F632" i="6"/>
  <c r="F633" i="6"/>
  <c r="F634" i="6"/>
  <c r="F635" i="6"/>
  <c r="F636" i="6"/>
  <c r="F637" i="6"/>
  <c r="G637" i="6" s="1"/>
  <c r="F638" i="6"/>
  <c r="F639" i="6"/>
  <c r="F640" i="6"/>
  <c r="G640" i="6" s="1"/>
  <c r="F641" i="6"/>
  <c r="G641" i="6" s="1"/>
  <c r="F642" i="6"/>
  <c r="F643" i="6"/>
  <c r="F644" i="6"/>
  <c r="F645" i="6"/>
  <c r="F646" i="6"/>
  <c r="F647" i="6"/>
  <c r="F648" i="6"/>
  <c r="F649" i="6"/>
  <c r="G649" i="6" s="1"/>
  <c r="F650" i="6"/>
  <c r="F651" i="6"/>
  <c r="F652" i="6"/>
  <c r="G652" i="6" s="1"/>
  <c r="F653" i="6"/>
  <c r="G653" i="6" s="1"/>
  <c r="F654" i="6"/>
  <c r="F655" i="6"/>
  <c r="F656" i="6"/>
  <c r="F657" i="6"/>
  <c r="F658" i="6"/>
  <c r="F659" i="6"/>
  <c r="F660" i="6"/>
  <c r="F661" i="6"/>
  <c r="G661" i="6" s="1"/>
  <c r="F662" i="6"/>
  <c r="F663" i="6"/>
  <c r="F664" i="6"/>
  <c r="G664" i="6" s="1"/>
  <c r="F665" i="6"/>
  <c r="G665" i="6" s="1"/>
  <c r="F666" i="6"/>
  <c r="F667" i="6"/>
  <c r="F668" i="6"/>
  <c r="F669" i="6"/>
  <c r="F670" i="6"/>
  <c r="F671" i="6"/>
  <c r="F672" i="6"/>
  <c r="F673" i="6"/>
  <c r="G673" i="6" s="1"/>
  <c r="F674" i="6"/>
  <c r="F675" i="6"/>
  <c r="F676" i="6"/>
  <c r="G676" i="6" s="1"/>
  <c r="F677" i="6"/>
  <c r="G677" i="6" s="1"/>
  <c r="F678" i="6"/>
  <c r="F679" i="6"/>
  <c r="F680" i="6"/>
  <c r="F681" i="6"/>
  <c r="F682" i="6"/>
  <c r="F683" i="6"/>
  <c r="F684" i="6"/>
  <c r="F685" i="6"/>
  <c r="G685" i="6" s="1"/>
  <c r="F686" i="6"/>
  <c r="F687" i="6"/>
  <c r="F688" i="6"/>
  <c r="G688" i="6" s="1"/>
  <c r="F689" i="6"/>
  <c r="G689" i="6" s="1"/>
  <c r="F690" i="6"/>
  <c r="F691" i="6"/>
  <c r="F692" i="6"/>
  <c r="F693" i="6"/>
  <c r="F694" i="6"/>
  <c r="F695" i="6"/>
  <c r="F696" i="6"/>
  <c r="F697" i="6"/>
  <c r="G697" i="6" s="1"/>
  <c r="F698" i="6"/>
  <c r="F699" i="6"/>
  <c r="F700" i="6"/>
  <c r="G700" i="6" s="1"/>
  <c r="F701" i="6"/>
  <c r="G701" i="6" s="1"/>
  <c r="F702" i="6"/>
  <c r="F703" i="6"/>
  <c r="F704" i="6"/>
  <c r="F705" i="6"/>
  <c r="F706" i="6"/>
  <c r="F707" i="6"/>
  <c r="F708" i="6"/>
  <c r="F709" i="6"/>
  <c r="G709" i="6" s="1"/>
  <c r="F710" i="6"/>
  <c r="F711" i="6"/>
  <c r="F712" i="6"/>
  <c r="G712" i="6" s="1"/>
  <c r="F713" i="6"/>
  <c r="G713" i="6" s="1"/>
  <c r="F714" i="6"/>
  <c r="F715" i="6"/>
  <c r="F716" i="6"/>
  <c r="F717" i="6"/>
  <c r="F718" i="6"/>
  <c r="F719" i="6"/>
  <c r="F720" i="6"/>
  <c r="F721" i="6"/>
  <c r="G721" i="6" s="1"/>
  <c r="F722" i="6"/>
  <c r="F723" i="6"/>
  <c r="F724" i="6"/>
  <c r="G724" i="6" s="1"/>
  <c r="F725" i="6"/>
  <c r="G725" i="6" s="1"/>
  <c r="F726" i="6"/>
  <c r="F727" i="6"/>
  <c r="F728" i="6"/>
  <c r="F729" i="6"/>
  <c r="F730" i="6"/>
  <c r="F731" i="6"/>
  <c r="F732" i="6"/>
  <c r="F733" i="6"/>
  <c r="G733" i="6" s="1"/>
  <c r="F734" i="6"/>
  <c r="F735" i="6"/>
  <c r="F736" i="6"/>
  <c r="G736" i="6" s="1"/>
  <c r="F737" i="6"/>
  <c r="G737" i="6" s="1"/>
  <c r="F738" i="6"/>
  <c r="F739" i="6"/>
  <c r="F740" i="6"/>
  <c r="F741" i="6"/>
  <c r="F742" i="6"/>
  <c r="F743" i="6"/>
  <c r="F744" i="6"/>
  <c r="F745" i="6"/>
  <c r="G745" i="6" s="1"/>
  <c r="F746" i="6"/>
  <c r="F747" i="6"/>
  <c r="F748" i="6"/>
  <c r="G748" i="6" s="1"/>
  <c r="F749" i="6"/>
  <c r="G749" i="6" s="1"/>
  <c r="F750" i="6"/>
  <c r="F751" i="6"/>
  <c r="F752" i="6"/>
  <c r="F753" i="6"/>
  <c r="F754" i="6"/>
  <c r="F755" i="6"/>
  <c r="F756" i="6"/>
  <c r="F757" i="6"/>
  <c r="G757" i="6" s="1"/>
  <c r="F758" i="6"/>
  <c r="F759" i="6"/>
  <c r="F760" i="6"/>
  <c r="G760" i="6" s="1"/>
  <c r="F761" i="6"/>
  <c r="G761" i="6" s="1"/>
  <c r="F762" i="6"/>
  <c r="F763" i="6"/>
  <c r="F764" i="6"/>
  <c r="F765" i="6"/>
  <c r="F766" i="6"/>
  <c r="F767" i="6"/>
  <c r="F768" i="6"/>
  <c r="F769" i="6"/>
  <c r="G769" i="6" s="1"/>
  <c r="F770" i="6"/>
  <c r="F771" i="6"/>
  <c r="F772" i="6"/>
  <c r="G772" i="6" s="1"/>
  <c r="F773" i="6"/>
  <c r="G773" i="6" s="1"/>
  <c r="F774" i="6"/>
  <c r="F775" i="6"/>
  <c r="F776" i="6"/>
  <c r="F777" i="6"/>
  <c r="F778" i="6"/>
  <c r="F779" i="6"/>
  <c r="F780" i="6"/>
  <c r="F781" i="6"/>
  <c r="G781" i="6" s="1"/>
  <c r="F782" i="6"/>
  <c r="F783" i="6"/>
  <c r="F784" i="6"/>
  <c r="G784" i="6" s="1"/>
  <c r="F785" i="6"/>
  <c r="G785" i="6" s="1"/>
  <c r="F786" i="6"/>
  <c r="F787" i="6"/>
  <c r="F788" i="6"/>
  <c r="F789" i="6"/>
  <c r="F790" i="6"/>
  <c r="F791" i="6"/>
  <c r="F792" i="6"/>
  <c r="F793" i="6"/>
  <c r="G793" i="6" s="1"/>
  <c r="F794" i="6"/>
  <c r="F795" i="6"/>
  <c r="F796" i="6"/>
  <c r="G796" i="6" s="1"/>
  <c r="F797" i="6"/>
  <c r="G797" i="6" s="1"/>
  <c r="F798" i="6"/>
  <c r="F799" i="6"/>
  <c r="F800" i="6"/>
  <c r="F801" i="6"/>
  <c r="F802" i="6"/>
  <c r="F803" i="6"/>
  <c r="F804" i="6"/>
  <c r="F805" i="6"/>
  <c r="G805" i="6" s="1"/>
  <c r="F806" i="6"/>
  <c r="F807" i="6"/>
  <c r="F808" i="6"/>
  <c r="G808" i="6" s="1"/>
  <c r="F809" i="6"/>
  <c r="G809" i="6" s="1"/>
  <c r="F810" i="6"/>
  <c r="F811" i="6"/>
  <c r="F812" i="6"/>
  <c r="F813" i="6"/>
  <c r="F814" i="6"/>
  <c r="F815" i="6"/>
  <c r="F816" i="6"/>
  <c r="F817" i="6"/>
  <c r="G817" i="6" s="1"/>
  <c r="F818" i="6"/>
  <c r="F819" i="6"/>
  <c r="F820" i="6"/>
  <c r="G820" i="6" s="1"/>
  <c r="F821" i="6"/>
  <c r="G821" i="6" s="1"/>
  <c r="F822" i="6"/>
  <c r="F823" i="6"/>
  <c r="F824" i="6"/>
  <c r="F825" i="6"/>
  <c r="F826" i="6"/>
  <c r="F827" i="6"/>
  <c r="F828" i="6"/>
  <c r="F829" i="6"/>
  <c r="G829" i="6" s="1"/>
  <c r="F830" i="6"/>
  <c r="F831" i="6"/>
  <c r="F832" i="6"/>
  <c r="G832" i="6" s="1"/>
  <c r="F833" i="6"/>
  <c r="G833" i="6" s="1"/>
  <c r="F834" i="6"/>
  <c r="F835" i="6"/>
  <c r="F836" i="6"/>
  <c r="F837" i="6"/>
  <c r="F838" i="6"/>
  <c r="F839" i="6"/>
  <c r="F840" i="6"/>
  <c r="F841" i="6"/>
  <c r="G841" i="6" s="1"/>
  <c r="F842" i="6"/>
  <c r="F843" i="6"/>
  <c r="F844" i="6"/>
  <c r="G844" i="6" s="1"/>
  <c r="F845" i="6"/>
  <c r="G845" i="6" s="1"/>
  <c r="F846" i="6"/>
  <c r="F847" i="6"/>
  <c r="F848" i="6"/>
  <c r="F849" i="6"/>
  <c r="F850" i="6"/>
  <c r="F851" i="6"/>
  <c r="F852" i="6"/>
  <c r="F853" i="6"/>
  <c r="G853" i="6" s="1"/>
  <c r="F854" i="6"/>
  <c r="F855" i="6"/>
  <c r="F856" i="6"/>
  <c r="G856" i="6" s="1"/>
  <c r="F857" i="6"/>
  <c r="G857" i="6" s="1"/>
  <c r="F858" i="6"/>
  <c r="F859" i="6"/>
  <c r="F860" i="6"/>
  <c r="F861" i="6"/>
  <c r="F862" i="6"/>
  <c r="F863" i="6"/>
  <c r="F864" i="6"/>
  <c r="F865" i="6"/>
  <c r="G865" i="6" s="1"/>
  <c r="F866" i="6"/>
  <c r="F867" i="6"/>
  <c r="F868" i="6"/>
  <c r="G868" i="6" s="1"/>
  <c r="F869" i="6"/>
  <c r="G869" i="6" s="1"/>
  <c r="F870" i="6"/>
  <c r="F871" i="6"/>
  <c r="F872" i="6"/>
  <c r="F873" i="6"/>
  <c r="F874" i="6"/>
  <c r="F875" i="6"/>
  <c r="F876" i="6"/>
  <c r="F877" i="6"/>
  <c r="G877" i="6" s="1"/>
  <c r="F878" i="6"/>
  <c r="F879" i="6"/>
  <c r="F880" i="6"/>
  <c r="G880" i="6" s="1"/>
  <c r="F881" i="6"/>
  <c r="G881" i="6" s="1"/>
  <c r="F882" i="6"/>
  <c r="F883" i="6"/>
  <c r="F884" i="6"/>
  <c r="F885" i="6"/>
  <c r="F886" i="6"/>
  <c r="F887" i="6"/>
  <c r="F888" i="6"/>
  <c r="F889" i="6"/>
  <c r="G889" i="6" s="1"/>
  <c r="F890" i="6"/>
  <c r="F891" i="6"/>
  <c r="F892" i="6"/>
  <c r="G892" i="6" s="1"/>
  <c r="F893" i="6"/>
  <c r="G893" i="6" s="1"/>
  <c r="F894" i="6"/>
  <c r="F895" i="6"/>
  <c r="F896" i="6"/>
  <c r="F897" i="6"/>
  <c r="F898" i="6"/>
  <c r="F899" i="6"/>
  <c r="F900" i="6"/>
  <c r="F901" i="6"/>
  <c r="G901" i="6" s="1"/>
  <c r="F902" i="6"/>
  <c r="F903" i="6"/>
  <c r="F904" i="6"/>
  <c r="G904" i="6" s="1"/>
  <c r="F905" i="6"/>
  <c r="G905" i="6" s="1"/>
  <c r="F906" i="6"/>
  <c r="F907" i="6"/>
  <c r="F908" i="6"/>
  <c r="F909" i="6"/>
  <c r="F910" i="6"/>
  <c r="F911" i="6"/>
  <c r="F912" i="6"/>
  <c r="F913" i="6"/>
  <c r="G913" i="6" s="1"/>
  <c r="F914" i="6"/>
  <c r="F915" i="6"/>
  <c r="F916" i="6"/>
  <c r="G916" i="6" s="1"/>
  <c r="F917" i="6"/>
  <c r="G917" i="6" s="1"/>
  <c r="F918" i="6"/>
  <c r="F919" i="6"/>
  <c r="F920" i="6"/>
  <c r="F921" i="6"/>
  <c r="F922" i="6"/>
  <c r="F923" i="6"/>
  <c r="F924" i="6"/>
  <c r="F925" i="6"/>
  <c r="G925" i="6" s="1"/>
  <c r="F926" i="6"/>
  <c r="F927" i="6"/>
  <c r="F928" i="6"/>
  <c r="G928" i="6" s="1"/>
  <c r="F929" i="6"/>
  <c r="G929" i="6" s="1"/>
  <c r="F930" i="6"/>
  <c r="F931" i="6"/>
  <c r="F932" i="6"/>
  <c r="F933" i="6"/>
  <c r="F934" i="6"/>
  <c r="F935" i="6"/>
  <c r="F936" i="6"/>
  <c r="F937" i="6"/>
  <c r="G937" i="6" s="1"/>
  <c r="F938" i="6"/>
  <c r="F939" i="6"/>
  <c r="F940" i="6"/>
  <c r="G940" i="6" s="1"/>
  <c r="F941" i="6"/>
  <c r="G941" i="6" s="1"/>
  <c r="F942" i="6"/>
  <c r="F943" i="6"/>
  <c r="F944" i="6"/>
  <c r="F945" i="6"/>
  <c r="F946" i="6"/>
  <c r="F947" i="6"/>
  <c r="F948" i="6"/>
  <c r="F949" i="6"/>
  <c r="G949" i="6" s="1"/>
  <c r="F950" i="6"/>
  <c r="F951" i="6"/>
  <c r="F952" i="6"/>
  <c r="G952" i="6" s="1"/>
  <c r="F953" i="6"/>
  <c r="G953" i="6" s="1"/>
  <c r="F954" i="6"/>
  <c r="F955" i="6"/>
  <c r="G955" i="6" s="1"/>
  <c r="F956" i="6"/>
  <c r="F957" i="6"/>
  <c r="F958" i="6"/>
  <c r="F959" i="6"/>
  <c r="F960" i="6"/>
  <c r="F961" i="6"/>
  <c r="G961" i="6" s="1"/>
  <c r="F962" i="6"/>
  <c r="F963" i="6"/>
  <c r="F964" i="6"/>
  <c r="G964" i="6" s="1"/>
  <c r="F965" i="6"/>
  <c r="G965" i="6" s="1"/>
  <c r="F966" i="6"/>
  <c r="F967" i="6"/>
  <c r="G967" i="6" s="1"/>
  <c r="F968" i="6"/>
  <c r="F969" i="6"/>
  <c r="F970" i="6"/>
  <c r="G970" i="6" s="1"/>
  <c r="F971" i="6"/>
  <c r="F972" i="6"/>
  <c r="F973" i="6"/>
  <c r="G973" i="6" s="1"/>
  <c r="F974" i="6"/>
  <c r="F975" i="6"/>
  <c r="F976" i="6"/>
  <c r="G976" i="6" s="1"/>
  <c r="F977" i="6"/>
  <c r="G977" i="6" s="1"/>
  <c r="F978" i="6"/>
  <c r="F979" i="6"/>
  <c r="G979" i="6" s="1"/>
  <c r="F980" i="6"/>
  <c r="F981" i="6"/>
  <c r="F982" i="6"/>
  <c r="G982" i="6" s="1"/>
  <c r="F983" i="6"/>
  <c r="F984" i="6"/>
  <c r="F985" i="6"/>
  <c r="G985" i="6" s="1"/>
  <c r="F986" i="6"/>
  <c r="F987" i="6"/>
  <c r="F988" i="6"/>
  <c r="G988" i="6" s="1"/>
  <c r="F989" i="6"/>
  <c r="G989" i="6" s="1"/>
  <c r="F990" i="6"/>
  <c r="F991" i="6"/>
  <c r="G991" i="6" s="1"/>
  <c r="F992" i="6"/>
  <c r="F993" i="6"/>
  <c r="F994" i="6"/>
  <c r="G994" i="6" s="1"/>
  <c r="F995" i="6"/>
  <c r="F996" i="6"/>
  <c r="F997" i="6"/>
  <c r="G997" i="6" s="1"/>
  <c r="F998" i="6"/>
  <c r="F999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2" i="6"/>
  <c r="B993" i="6"/>
  <c r="B994" i="6"/>
  <c r="B995" i="6"/>
  <c r="B996" i="6"/>
  <c r="B997" i="6"/>
  <c r="B998" i="6"/>
  <c r="B999" i="6"/>
  <c r="B990" i="6"/>
  <c r="B991" i="6"/>
  <c r="B992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2" i="6"/>
  <c r="E8" i="1"/>
  <c r="E10" i="1"/>
  <c r="E18" i="1"/>
  <c r="D394" i="3"/>
  <c r="F48" i="7" s="1"/>
  <c r="G48" i="7" s="1"/>
  <c r="G958" i="6" l="1"/>
  <c r="G946" i="6"/>
  <c r="G934" i="6"/>
  <c r="G922" i="6"/>
  <c r="G910" i="6"/>
  <c r="G898" i="6"/>
  <c r="G886" i="6"/>
  <c r="G874" i="6"/>
  <c r="G862" i="6"/>
  <c r="G850" i="6"/>
  <c r="G838" i="6"/>
  <c r="G826" i="6"/>
  <c r="G814" i="6"/>
  <c r="G802" i="6"/>
  <c r="G790" i="6"/>
  <c r="G778" i="6"/>
  <c r="G766" i="6"/>
  <c r="G754" i="6"/>
  <c r="G742" i="6"/>
  <c r="G730" i="6"/>
  <c r="G718" i="6"/>
  <c r="G706" i="6"/>
  <c r="G694" i="6"/>
  <c r="G682" i="6"/>
  <c r="G670" i="6"/>
  <c r="G658" i="6"/>
  <c r="G646" i="6"/>
  <c r="G634" i="6"/>
  <c r="G622" i="6"/>
  <c r="G610" i="6"/>
  <c r="G598" i="6"/>
  <c r="G586" i="6"/>
  <c r="G574" i="6"/>
  <c r="G562" i="6"/>
  <c r="G550" i="6"/>
  <c r="G538" i="6"/>
  <c r="G526" i="6"/>
  <c r="G514" i="6"/>
  <c r="G502" i="6"/>
  <c r="G490" i="6"/>
  <c r="G478" i="6"/>
  <c r="G466" i="6"/>
  <c r="G454" i="6"/>
  <c r="G442" i="6"/>
  <c r="G430" i="6"/>
  <c r="G418" i="6"/>
  <c r="G406" i="6"/>
  <c r="G394" i="6"/>
  <c r="G382" i="6"/>
  <c r="G370" i="6"/>
  <c r="G358" i="6"/>
  <c r="G346" i="6"/>
  <c r="G334" i="6"/>
  <c r="G322" i="6"/>
  <c r="G310" i="6"/>
  <c r="G298" i="6"/>
  <c r="G286" i="6"/>
  <c r="G274" i="6"/>
  <c r="G262" i="6"/>
  <c r="G250" i="6"/>
  <c r="G238" i="6"/>
  <c r="G226" i="6"/>
  <c r="G214" i="6"/>
  <c r="G202" i="6"/>
  <c r="G190" i="6"/>
  <c r="G178" i="6"/>
  <c r="G166" i="6"/>
  <c r="G154" i="6"/>
  <c r="G142" i="6"/>
  <c r="G130" i="6"/>
  <c r="G118" i="6"/>
  <c r="G993" i="6"/>
  <c r="G981" i="6"/>
  <c r="G969" i="6"/>
  <c r="G957" i="6"/>
  <c r="G945" i="6"/>
  <c r="G933" i="6"/>
  <c r="G921" i="6"/>
  <c r="G909" i="6"/>
  <c r="G897" i="6"/>
  <c r="G885" i="6"/>
  <c r="G873" i="6"/>
  <c r="G861" i="6"/>
  <c r="G849" i="6"/>
  <c r="G837" i="6"/>
  <c r="G825" i="6"/>
  <c r="G813" i="6"/>
  <c r="G801" i="6"/>
  <c r="G789" i="6"/>
  <c r="G777" i="6"/>
  <c r="G765" i="6"/>
  <c r="G753" i="6"/>
  <c r="G741" i="6"/>
  <c r="G729" i="6"/>
  <c r="G717" i="6"/>
  <c r="G705" i="6"/>
  <c r="G693" i="6"/>
  <c r="G681" i="6"/>
  <c r="G669" i="6"/>
  <c r="G657" i="6"/>
  <c r="G645" i="6"/>
  <c r="G633" i="6"/>
  <c r="G621" i="6"/>
  <c r="G609" i="6"/>
  <c r="G597" i="6"/>
  <c r="G585" i="6"/>
  <c r="G573" i="6"/>
  <c r="G561" i="6"/>
  <c r="G549" i="6"/>
  <c r="G537" i="6"/>
  <c r="G525" i="6"/>
  <c r="G513" i="6"/>
  <c r="G501" i="6"/>
  <c r="G489" i="6"/>
  <c r="G477" i="6"/>
  <c r="G465" i="6"/>
  <c r="G453" i="6"/>
  <c r="G441" i="6"/>
  <c r="G429" i="6"/>
  <c r="G417" i="6"/>
  <c r="G405" i="6"/>
  <c r="G393" i="6"/>
  <c r="G381" i="6"/>
  <c r="G369" i="6"/>
  <c r="G357" i="6"/>
  <c r="G345" i="6"/>
  <c r="G333" i="6"/>
  <c r="G321" i="6"/>
  <c r="G309" i="6"/>
  <c r="G297" i="6"/>
  <c r="G285" i="6"/>
  <c r="G273" i="6"/>
  <c r="G261" i="6"/>
  <c r="G249" i="6"/>
  <c r="G237" i="6"/>
  <c r="G225" i="6"/>
  <c r="G213" i="6"/>
  <c r="G201" i="6"/>
  <c r="G189" i="6"/>
  <c r="G177" i="6"/>
  <c r="G165" i="6"/>
  <c r="G153" i="6"/>
  <c r="G141" i="6"/>
  <c r="G129" i="6"/>
  <c r="G117" i="6"/>
  <c r="G992" i="6"/>
  <c r="G980" i="6"/>
  <c r="G968" i="6"/>
  <c r="G956" i="6"/>
  <c r="G944" i="6"/>
  <c r="G932" i="6"/>
  <c r="G920" i="6"/>
  <c r="G908" i="6"/>
  <c r="G896" i="6"/>
  <c r="G884" i="6"/>
  <c r="G872" i="6"/>
  <c r="G860" i="6"/>
  <c r="G848" i="6"/>
  <c r="G836" i="6"/>
  <c r="G824" i="6"/>
  <c r="G812" i="6"/>
  <c r="G800" i="6"/>
  <c r="G788" i="6"/>
  <c r="G776" i="6"/>
  <c r="G764" i="6"/>
  <c r="G752" i="6"/>
  <c r="G740" i="6"/>
  <c r="G728" i="6"/>
  <c r="G716" i="6"/>
  <c r="G704" i="6"/>
  <c r="G692" i="6"/>
  <c r="G680" i="6"/>
  <c r="G668" i="6"/>
  <c r="G656" i="6"/>
  <c r="G644" i="6"/>
  <c r="G632" i="6"/>
  <c r="G620" i="6"/>
  <c r="G608" i="6"/>
  <c r="G596" i="6"/>
  <c r="G584" i="6"/>
  <c r="G572" i="6"/>
  <c r="G560" i="6"/>
  <c r="G548" i="6"/>
  <c r="G536" i="6"/>
  <c r="G524" i="6"/>
  <c r="G512" i="6"/>
  <c r="G500" i="6"/>
  <c r="G488" i="6"/>
  <c r="G476" i="6"/>
  <c r="G464" i="6"/>
  <c r="G452" i="6"/>
  <c r="G440" i="6"/>
  <c r="G428" i="6"/>
  <c r="G416" i="6"/>
  <c r="G404" i="6"/>
  <c r="G392" i="6"/>
  <c r="G380" i="6"/>
  <c r="G368" i="6"/>
  <c r="G356" i="6"/>
  <c r="G344" i="6"/>
  <c r="G332" i="6"/>
  <c r="G320" i="6"/>
  <c r="G308" i="6"/>
  <c r="G296" i="6"/>
  <c r="G284" i="6"/>
  <c r="G272" i="6"/>
  <c r="G260" i="6"/>
  <c r="G248" i="6"/>
  <c r="G236" i="6"/>
  <c r="G224" i="6"/>
  <c r="G212" i="6"/>
  <c r="G200" i="6"/>
  <c r="G188" i="6"/>
  <c r="G176" i="6"/>
  <c r="G164" i="6"/>
  <c r="G152" i="6"/>
  <c r="G140" i="6"/>
  <c r="G128" i="6"/>
  <c r="G943" i="6"/>
  <c r="G931" i="6"/>
  <c r="G919" i="6"/>
  <c r="G907" i="6"/>
  <c r="G895" i="6"/>
  <c r="G883" i="6"/>
  <c r="G871" i="6"/>
  <c r="G859" i="6"/>
  <c r="G847" i="6"/>
  <c r="G835" i="6"/>
  <c r="G823" i="6"/>
  <c r="G811" i="6"/>
  <c r="G799" i="6"/>
  <c r="G787" i="6"/>
  <c r="G775" i="6"/>
  <c r="G763" i="6"/>
  <c r="G751" i="6"/>
  <c r="G739" i="6"/>
  <c r="G727" i="6"/>
  <c r="G715" i="6"/>
  <c r="G703" i="6"/>
  <c r="G691" i="6"/>
  <c r="G679" i="6"/>
  <c r="G667" i="6"/>
  <c r="G655" i="6"/>
  <c r="G643" i="6"/>
  <c r="G631" i="6"/>
  <c r="G619" i="6"/>
  <c r="G607" i="6"/>
  <c r="G595" i="6"/>
  <c r="G583" i="6"/>
  <c r="G571" i="6"/>
  <c r="G559" i="6"/>
  <c r="G547" i="6"/>
  <c r="G535" i="6"/>
  <c r="G523" i="6"/>
  <c r="G511" i="6"/>
  <c r="G499" i="6"/>
  <c r="G487" i="6"/>
  <c r="G475" i="6"/>
  <c r="G463" i="6"/>
  <c r="G451" i="6"/>
  <c r="G439" i="6"/>
  <c r="G427" i="6"/>
  <c r="G415" i="6"/>
  <c r="G403" i="6"/>
  <c r="G391" i="6"/>
  <c r="G379" i="6"/>
  <c r="G367" i="6"/>
  <c r="G355" i="6"/>
  <c r="G343" i="6"/>
  <c r="G331" i="6"/>
  <c r="G319" i="6"/>
  <c r="G307" i="6"/>
  <c r="G295" i="6"/>
  <c r="G283" i="6"/>
  <c r="G271" i="6"/>
  <c r="G259" i="6"/>
  <c r="G247" i="6"/>
  <c r="G235" i="6"/>
  <c r="G223" i="6"/>
  <c r="G211" i="6"/>
  <c r="G199" i="6"/>
  <c r="G187" i="6"/>
  <c r="G175" i="6"/>
  <c r="G163" i="6"/>
  <c r="G151" i="6"/>
  <c r="G139" i="6"/>
  <c r="G127" i="6"/>
  <c r="G990" i="6"/>
  <c r="G978" i="6"/>
  <c r="G966" i="6"/>
  <c r="G954" i="6"/>
  <c r="G942" i="6"/>
  <c r="G930" i="6"/>
  <c r="G918" i="6"/>
  <c r="G906" i="6"/>
  <c r="G894" i="6"/>
  <c r="G882" i="6"/>
  <c r="G870" i="6"/>
  <c r="G858" i="6"/>
  <c r="G846" i="6"/>
  <c r="G834" i="6"/>
  <c r="G822" i="6"/>
  <c r="G810" i="6"/>
  <c r="G798" i="6"/>
  <c r="G786" i="6"/>
  <c r="G774" i="6"/>
  <c r="G762" i="6"/>
  <c r="G750" i="6"/>
  <c r="G738" i="6"/>
  <c r="G726" i="6"/>
  <c r="G714" i="6"/>
  <c r="G702" i="6"/>
  <c r="G690" i="6"/>
  <c r="G678" i="6"/>
  <c r="G666" i="6"/>
  <c r="G654" i="6"/>
  <c r="G642" i="6"/>
  <c r="G630" i="6"/>
  <c r="G618" i="6"/>
  <c r="G606" i="6"/>
  <c r="G594" i="6"/>
  <c r="G582" i="6"/>
  <c r="G570" i="6"/>
  <c r="G558" i="6"/>
  <c r="G546" i="6"/>
  <c r="G534" i="6"/>
  <c r="G522" i="6"/>
  <c r="G510" i="6"/>
  <c r="G498" i="6"/>
  <c r="G486" i="6"/>
  <c r="G474" i="6"/>
  <c r="G462" i="6"/>
  <c r="G450" i="6"/>
  <c r="G438" i="6"/>
  <c r="G426" i="6"/>
  <c r="G414" i="6"/>
  <c r="G402" i="6"/>
  <c r="G390" i="6"/>
  <c r="G378" i="6"/>
  <c r="G366" i="6"/>
  <c r="G354" i="6"/>
  <c r="G342" i="6"/>
  <c r="G330" i="6"/>
  <c r="G318" i="6"/>
  <c r="G306" i="6"/>
  <c r="G294" i="6"/>
  <c r="G282" i="6"/>
  <c r="G270" i="6"/>
  <c r="G258" i="6"/>
  <c r="G246" i="6"/>
  <c r="G234" i="6"/>
  <c r="G222" i="6"/>
  <c r="G210" i="6"/>
  <c r="G198" i="6"/>
  <c r="G186" i="6"/>
  <c r="G174" i="6"/>
  <c r="G162" i="6"/>
  <c r="G150" i="6"/>
  <c r="G138" i="6"/>
  <c r="G126" i="6"/>
  <c r="G999" i="6"/>
  <c r="G987" i="6"/>
  <c r="G975" i="6"/>
  <c r="G963" i="6"/>
  <c r="G951" i="6"/>
  <c r="G939" i="6"/>
  <c r="G927" i="6"/>
  <c r="G915" i="6"/>
  <c r="G903" i="6"/>
  <c r="G891" i="6"/>
  <c r="G879" i="6"/>
  <c r="G867" i="6"/>
  <c r="G855" i="6"/>
  <c r="G843" i="6"/>
  <c r="G831" i="6"/>
  <c r="G819" i="6"/>
  <c r="G807" i="6"/>
  <c r="G795" i="6"/>
  <c r="G783" i="6"/>
  <c r="G771" i="6"/>
  <c r="G759" i="6"/>
  <c r="G747" i="6"/>
  <c r="G735" i="6"/>
  <c r="G723" i="6"/>
  <c r="G711" i="6"/>
  <c r="G699" i="6"/>
  <c r="G687" i="6"/>
  <c r="G675" i="6"/>
  <c r="G663" i="6"/>
  <c r="G651" i="6"/>
  <c r="G639" i="6"/>
  <c r="G627" i="6"/>
  <c r="G615" i="6"/>
  <c r="G603" i="6"/>
  <c r="G591" i="6"/>
  <c r="G579" i="6"/>
  <c r="G567" i="6"/>
  <c r="G555" i="6"/>
  <c r="G543" i="6"/>
  <c r="G531" i="6"/>
  <c r="G519" i="6"/>
  <c r="G507" i="6"/>
  <c r="G495" i="6"/>
  <c r="G483" i="6"/>
  <c r="G471" i="6"/>
  <c r="G459" i="6"/>
  <c r="G447" i="6"/>
  <c r="G435" i="6"/>
  <c r="G423" i="6"/>
  <c r="G411" i="6"/>
  <c r="G399" i="6"/>
  <c r="G387" i="6"/>
  <c r="G375" i="6"/>
  <c r="G363" i="6"/>
  <c r="G351" i="6"/>
  <c r="G339" i="6"/>
  <c r="G327" i="6"/>
  <c r="G315" i="6"/>
  <c r="G303" i="6"/>
  <c r="G291" i="6"/>
  <c r="G279" i="6"/>
  <c r="G267" i="6"/>
  <c r="G255" i="6"/>
  <c r="G243" i="6"/>
  <c r="G231" i="6"/>
  <c r="G219" i="6"/>
  <c r="G207" i="6"/>
  <c r="G195" i="6"/>
  <c r="G183" i="6"/>
  <c r="G171" i="6"/>
  <c r="G159" i="6"/>
  <c r="G147" i="6"/>
  <c r="G135" i="6"/>
  <c r="G123" i="6"/>
  <c r="G998" i="6"/>
  <c r="G986" i="6"/>
  <c r="G974" i="6"/>
  <c r="G962" i="6"/>
  <c r="G950" i="6"/>
  <c r="G938" i="6"/>
  <c r="G926" i="6"/>
  <c r="G914" i="6"/>
  <c r="G902" i="6"/>
  <c r="G890" i="6"/>
  <c r="G878" i="6"/>
  <c r="G866" i="6"/>
  <c r="G854" i="6"/>
  <c r="G842" i="6"/>
  <c r="G830" i="6"/>
  <c r="G818" i="6"/>
  <c r="G806" i="6"/>
  <c r="G794" i="6"/>
  <c r="G782" i="6"/>
  <c r="G770" i="6"/>
  <c r="G758" i="6"/>
  <c r="G746" i="6"/>
  <c r="G734" i="6"/>
  <c r="G722" i="6"/>
  <c r="G710" i="6"/>
  <c r="G698" i="6"/>
  <c r="G686" i="6"/>
  <c r="G674" i="6"/>
  <c r="G662" i="6"/>
  <c r="G650" i="6"/>
  <c r="G638" i="6"/>
  <c r="G626" i="6"/>
  <c r="G614" i="6"/>
  <c r="G602" i="6"/>
  <c r="G590" i="6"/>
  <c r="G578" i="6"/>
  <c r="G566" i="6"/>
  <c r="G554" i="6"/>
  <c r="G542" i="6"/>
  <c r="G530" i="6"/>
  <c r="G518" i="6"/>
  <c r="G506" i="6"/>
  <c r="G494" i="6"/>
  <c r="G482" i="6"/>
  <c r="G470" i="6"/>
  <c r="G458" i="6"/>
  <c r="G446" i="6"/>
  <c r="G434" i="6"/>
  <c r="G422" i="6"/>
  <c r="G410" i="6"/>
  <c r="G398" i="6"/>
  <c r="G386" i="6"/>
  <c r="G374" i="6"/>
  <c r="G362" i="6"/>
  <c r="G350" i="6"/>
  <c r="G338" i="6"/>
  <c r="G326" i="6"/>
  <c r="G314" i="6"/>
  <c r="G302" i="6"/>
  <c r="G290" i="6"/>
  <c r="G278" i="6"/>
  <c r="G266" i="6"/>
  <c r="G254" i="6"/>
  <c r="G242" i="6"/>
  <c r="G230" i="6"/>
  <c r="G218" i="6"/>
  <c r="G206" i="6"/>
  <c r="G194" i="6"/>
  <c r="G182" i="6"/>
  <c r="G170" i="6"/>
  <c r="G158" i="6"/>
  <c r="G146" i="6"/>
  <c r="G134" i="6"/>
  <c r="G122" i="6"/>
  <c r="G996" i="6"/>
  <c r="G984" i="6"/>
  <c r="G972" i="6"/>
  <c r="G960" i="6"/>
  <c r="G948" i="6"/>
  <c r="G936" i="6"/>
  <c r="G924" i="6"/>
  <c r="G912" i="6"/>
  <c r="G900" i="6"/>
  <c r="G888" i="6"/>
  <c r="G876" i="6"/>
  <c r="G864" i="6"/>
  <c r="G852" i="6"/>
  <c r="G840" i="6"/>
  <c r="G828" i="6"/>
  <c r="G816" i="6"/>
  <c r="G804" i="6"/>
  <c r="G792" i="6"/>
  <c r="G780" i="6"/>
  <c r="G768" i="6"/>
  <c r="G756" i="6"/>
  <c r="G744" i="6"/>
  <c r="G732" i="6"/>
  <c r="G720" i="6"/>
  <c r="G708" i="6"/>
  <c r="G696" i="6"/>
  <c r="G684" i="6"/>
  <c r="G672" i="6"/>
  <c r="G660" i="6"/>
  <c r="G648" i="6"/>
  <c r="G636" i="6"/>
  <c r="G624" i="6"/>
  <c r="G612" i="6"/>
  <c r="G600" i="6"/>
  <c r="G588" i="6"/>
  <c r="G576" i="6"/>
  <c r="G564" i="6"/>
  <c r="G552" i="6"/>
  <c r="G540" i="6"/>
  <c r="G528" i="6"/>
  <c r="G516" i="6"/>
  <c r="G504" i="6"/>
  <c r="G492" i="6"/>
  <c r="G480" i="6"/>
  <c r="G468" i="6"/>
  <c r="G456" i="6"/>
  <c r="G444" i="6"/>
  <c r="G432" i="6"/>
  <c r="G420" i="6"/>
  <c r="G408" i="6"/>
  <c r="G396" i="6"/>
  <c r="G384" i="6"/>
  <c r="G372" i="6"/>
  <c r="G360" i="6"/>
  <c r="G348" i="6"/>
  <c r="G336" i="6"/>
  <c r="G324" i="6"/>
  <c r="G312" i="6"/>
  <c r="G300" i="6"/>
  <c r="G288" i="6"/>
  <c r="G276" i="6"/>
  <c r="G264" i="6"/>
  <c r="G252" i="6"/>
  <c r="G240" i="6"/>
  <c r="G228" i="6"/>
  <c r="G216" i="6"/>
  <c r="G204" i="6"/>
  <c r="G192" i="6"/>
  <c r="G180" i="6"/>
  <c r="G168" i="6"/>
  <c r="G156" i="6"/>
  <c r="G144" i="6"/>
  <c r="G132" i="6"/>
  <c r="G120" i="6"/>
  <c r="G995" i="6"/>
  <c r="G983" i="6"/>
  <c r="G971" i="6"/>
  <c r="G959" i="6"/>
  <c r="G947" i="6"/>
  <c r="G935" i="6"/>
  <c r="G923" i="6"/>
  <c r="G911" i="6"/>
  <c r="G899" i="6"/>
  <c r="G887" i="6"/>
  <c r="G875" i="6"/>
  <c r="G863" i="6"/>
  <c r="G851" i="6"/>
  <c r="G839" i="6"/>
  <c r="G827" i="6"/>
  <c r="G815" i="6"/>
  <c r="G803" i="6"/>
  <c r="G791" i="6"/>
  <c r="G779" i="6"/>
  <c r="G767" i="6"/>
  <c r="G755" i="6"/>
  <c r="G743" i="6"/>
  <c r="G731" i="6"/>
  <c r="G719" i="6"/>
  <c r="G707" i="6"/>
  <c r="G695" i="6"/>
  <c r="G683" i="6"/>
  <c r="G671" i="6"/>
  <c r="G659" i="6"/>
  <c r="G647" i="6"/>
  <c r="G635" i="6"/>
  <c r="G623" i="6"/>
  <c r="G611" i="6"/>
  <c r="G599" i="6"/>
  <c r="G587" i="6"/>
  <c r="G575" i="6"/>
  <c r="G563" i="6"/>
  <c r="G551" i="6"/>
  <c r="G539" i="6"/>
  <c r="G527" i="6"/>
  <c r="G515" i="6"/>
  <c r="G503" i="6"/>
  <c r="G491" i="6"/>
  <c r="G479" i="6"/>
  <c r="G467" i="6"/>
  <c r="G455" i="6"/>
  <c r="G443" i="6"/>
  <c r="G431" i="6"/>
  <c r="G419" i="6"/>
  <c r="G407" i="6"/>
  <c r="G395" i="6"/>
  <c r="G383" i="6"/>
  <c r="G371" i="6"/>
  <c r="G359" i="6"/>
  <c r="G347" i="6"/>
  <c r="G335" i="6"/>
  <c r="G323" i="6"/>
  <c r="G311" i="6"/>
  <c r="G299" i="6"/>
  <c r="G287" i="6"/>
  <c r="G275" i="6"/>
  <c r="G263" i="6"/>
  <c r="G251" i="6"/>
  <c r="G239" i="6"/>
  <c r="G227" i="6"/>
  <c r="G215" i="6"/>
  <c r="G203" i="6"/>
  <c r="G191" i="6"/>
  <c r="G179" i="6"/>
  <c r="G167" i="6"/>
  <c r="G155" i="6"/>
  <c r="G143" i="6"/>
  <c r="G131" i="6"/>
  <c r="G119" i="6"/>
  <c r="F106" i="6"/>
  <c r="G106" i="6" s="1"/>
  <c r="D264" i="3"/>
  <c r="F34" i="7" s="1"/>
  <c r="G34" i="7" s="1"/>
  <c r="D263" i="3"/>
  <c r="D262" i="3"/>
  <c r="F33" i="7" s="1"/>
  <c r="G33" i="7" s="1"/>
  <c r="D259" i="3"/>
  <c r="F38" i="7" s="1"/>
  <c r="G38" i="7" s="1"/>
  <c r="D129" i="3"/>
  <c r="F19" i="7" s="1"/>
  <c r="G19" i="7" s="1"/>
  <c r="D128" i="3"/>
  <c r="D127" i="3"/>
  <c r="D14" i="3"/>
  <c r="F43" i="7" s="1"/>
  <c r="G43" i="7" s="1"/>
  <c r="D11" i="3"/>
  <c r="F44" i="7" s="1"/>
  <c r="G44" i="7" s="1"/>
  <c r="D5" i="3"/>
  <c r="F91" i="6" s="1"/>
  <c r="G91" i="6" s="1"/>
  <c r="F77" i="6" l="1"/>
  <c r="G77" i="6" s="1"/>
  <c r="F95" i="6"/>
  <c r="G95" i="6" s="1"/>
  <c r="F92" i="6"/>
  <c r="G92" i="6" s="1"/>
  <c r="F38" i="6"/>
  <c r="G38" i="6" s="1"/>
  <c r="F83" i="6"/>
  <c r="G83" i="6" s="1"/>
  <c r="F76" i="6"/>
  <c r="G76" i="6" s="1"/>
  <c r="D3" i="4" a="1"/>
  <c r="D3" i="4" s="1"/>
  <c r="C2" i="4" l="1" a="1"/>
  <c r="C2" i="4" s="1"/>
  <c r="D2" i="3"/>
  <c r="D3" i="3"/>
  <c r="F89" i="6" s="1"/>
  <c r="G89" i="6" s="1"/>
  <c r="D4" i="3"/>
  <c r="F42" i="7" s="1"/>
  <c r="G42" i="7" s="1"/>
  <c r="D6" i="3"/>
  <c r="F93" i="6" s="1"/>
  <c r="G93" i="6" s="1"/>
  <c r="D7" i="3"/>
  <c r="F94" i="6" s="1"/>
  <c r="G94" i="6" s="1"/>
  <c r="D8" i="3"/>
  <c r="F45" i="7" s="1"/>
  <c r="G45" i="7" s="1"/>
  <c r="D9" i="3"/>
  <c r="D10" i="3"/>
  <c r="D12" i="3"/>
  <c r="D13" i="3"/>
  <c r="D15" i="3"/>
  <c r="F51" i="7" s="1"/>
  <c r="G51" i="7" s="1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F41" i="7" s="1"/>
  <c r="G41" i="7" s="1"/>
  <c r="D34" i="3"/>
  <c r="D35" i="3"/>
  <c r="D36" i="3"/>
  <c r="D37" i="3"/>
  <c r="F99" i="6" s="1"/>
  <c r="G99" i="6" s="1"/>
  <c r="D38" i="3"/>
  <c r="D39" i="3"/>
  <c r="D40" i="3"/>
  <c r="F97" i="6" s="1"/>
  <c r="G97" i="6" s="1"/>
  <c r="D41" i="3"/>
  <c r="D42" i="3"/>
  <c r="F100" i="6" s="1"/>
  <c r="G100" i="6" s="1"/>
  <c r="D43" i="3"/>
  <c r="F98" i="6" s="1"/>
  <c r="G98" i="6" s="1"/>
  <c r="D44" i="3"/>
  <c r="D45" i="3"/>
  <c r="F2" i="6" s="1"/>
  <c r="D46" i="3"/>
  <c r="D47" i="3"/>
  <c r="F16" i="7" s="1"/>
  <c r="G16" i="7" s="1"/>
  <c r="D48" i="3"/>
  <c r="D49" i="3"/>
  <c r="D50" i="3"/>
  <c r="F9" i="6" s="1"/>
  <c r="G9" i="6" s="1"/>
  <c r="D51" i="3"/>
  <c r="F11" i="6" s="1"/>
  <c r="G11" i="6" s="1"/>
  <c r="D52" i="3"/>
  <c r="D53" i="3"/>
  <c r="F14" i="6" s="1"/>
  <c r="G14" i="6" s="1"/>
  <c r="D54" i="3"/>
  <c r="F29" i="6" s="1"/>
  <c r="G29" i="6" s="1"/>
  <c r="D55" i="3"/>
  <c r="F19" i="6" s="1"/>
  <c r="G19" i="6" s="1"/>
  <c r="D56" i="3"/>
  <c r="D57" i="3"/>
  <c r="F30" i="6" s="1"/>
  <c r="G30" i="6" s="1"/>
  <c r="D58" i="3"/>
  <c r="D59" i="3"/>
  <c r="F8" i="7" s="1"/>
  <c r="G8" i="7" s="1"/>
  <c r="D60" i="3"/>
  <c r="F34" i="6" s="1"/>
  <c r="G34" i="6" s="1"/>
  <c r="D61" i="3"/>
  <c r="F35" i="6" s="1"/>
  <c r="G35" i="6" s="1"/>
  <c r="D62" i="3"/>
  <c r="F10" i="6" s="1"/>
  <c r="G10" i="6" s="1"/>
  <c r="D63" i="3"/>
  <c r="D64" i="3"/>
  <c r="D65" i="3"/>
  <c r="F4" i="7" s="1"/>
  <c r="G4" i="7" s="1"/>
  <c r="D66" i="3"/>
  <c r="D67" i="3"/>
  <c r="D68" i="3"/>
  <c r="D69" i="3"/>
  <c r="F9" i="7" s="1"/>
  <c r="G9" i="7" s="1"/>
  <c r="D70" i="3"/>
  <c r="D71" i="3"/>
  <c r="D72" i="3"/>
  <c r="D73" i="3"/>
  <c r="D74" i="3"/>
  <c r="D75" i="3"/>
  <c r="F22" i="6" s="1"/>
  <c r="G22" i="6" s="1"/>
  <c r="D76" i="3"/>
  <c r="D77" i="3"/>
  <c r="F23" i="6" s="1"/>
  <c r="G23" i="6" s="1"/>
  <c r="D78" i="3"/>
  <c r="F4" i="6" s="1"/>
  <c r="G4" i="6" s="1"/>
  <c r="D79" i="3"/>
  <c r="D80" i="3"/>
  <c r="D81" i="3"/>
  <c r="D82" i="3"/>
  <c r="F33" i="6" s="1"/>
  <c r="G33" i="6" s="1"/>
  <c r="D83" i="3"/>
  <c r="D84" i="3"/>
  <c r="F31" i="6" s="1"/>
  <c r="G31" i="6" s="1"/>
  <c r="D85" i="3"/>
  <c r="D86" i="3"/>
  <c r="D87" i="3"/>
  <c r="F6" i="6" s="1"/>
  <c r="G6" i="6" s="1"/>
  <c r="D88" i="3"/>
  <c r="D89" i="3"/>
  <c r="D90" i="3"/>
  <c r="F25" i="6" s="1"/>
  <c r="G25" i="6" s="1"/>
  <c r="D91" i="3"/>
  <c r="D92" i="3"/>
  <c r="F39" i="6" s="1"/>
  <c r="G39" i="6" s="1"/>
  <c r="D93" i="3"/>
  <c r="D94" i="3"/>
  <c r="D95" i="3"/>
  <c r="D96" i="3"/>
  <c r="D97" i="3"/>
  <c r="D98" i="3"/>
  <c r="D99" i="3"/>
  <c r="D100" i="3"/>
  <c r="D101" i="3"/>
  <c r="D102" i="3"/>
  <c r="D103" i="3"/>
  <c r="D104" i="3"/>
  <c r="F17" i="7" s="1"/>
  <c r="G17" i="7" s="1"/>
  <c r="D105" i="3"/>
  <c r="D106" i="3"/>
  <c r="D107" i="3"/>
  <c r="D108" i="3"/>
  <c r="F28" i="6" s="1"/>
  <c r="G28" i="6" s="1"/>
  <c r="D109" i="3"/>
  <c r="F32" i="6" s="1"/>
  <c r="G32" i="6" s="1"/>
  <c r="D110" i="3"/>
  <c r="D111" i="3"/>
  <c r="D112" i="3"/>
  <c r="D113" i="3"/>
  <c r="D114" i="3"/>
  <c r="D115" i="3"/>
  <c r="D116" i="3"/>
  <c r="D117" i="3"/>
  <c r="D118" i="3"/>
  <c r="D119" i="3"/>
  <c r="D120" i="3"/>
  <c r="F15" i="7" s="1"/>
  <c r="G15" i="7" s="1"/>
  <c r="D121" i="3"/>
  <c r="F11" i="7" s="1"/>
  <c r="G11" i="7" s="1"/>
  <c r="D122" i="3"/>
  <c r="D123" i="3"/>
  <c r="D124" i="3"/>
  <c r="D125" i="3"/>
  <c r="D126" i="3"/>
  <c r="D130" i="3"/>
  <c r="F2" i="7" s="1"/>
  <c r="G2" i="7" s="1"/>
  <c r="D131" i="3"/>
  <c r="F5" i="7" s="1"/>
  <c r="G5" i="7" s="1"/>
  <c r="D132" i="3"/>
  <c r="D133" i="3"/>
  <c r="D134" i="3"/>
  <c r="D135" i="3"/>
  <c r="F14" i="7" s="1"/>
  <c r="G14" i="7" s="1"/>
  <c r="D136" i="3"/>
  <c r="F12" i="7" s="1"/>
  <c r="G12" i="7" s="1"/>
  <c r="D137" i="3"/>
  <c r="F13" i="7" s="1"/>
  <c r="G13" i="7" s="1"/>
  <c r="D138" i="3"/>
  <c r="F6" i="7" s="1"/>
  <c r="G6" i="7" s="1"/>
  <c r="D139" i="3"/>
  <c r="F10" i="7" s="1"/>
  <c r="G10" i="7" s="1"/>
  <c r="D140" i="3"/>
  <c r="F18" i="7" s="1"/>
  <c r="G18" i="7" s="1"/>
  <c r="D141" i="3"/>
  <c r="D142" i="3"/>
  <c r="D143" i="3"/>
  <c r="D144" i="3"/>
  <c r="D145" i="3"/>
  <c r="F7" i="7" s="1"/>
  <c r="G7" i="7" s="1"/>
  <c r="D146" i="3"/>
  <c r="F3" i="7" s="1"/>
  <c r="G3" i="7" s="1"/>
  <c r="D147" i="3"/>
  <c r="D148" i="3"/>
  <c r="D149" i="3"/>
  <c r="D150" i="3"/>
  <c r="D151" i="3"/>
  <c r="D152" i="3"/>
  <c r="D153" i="3"/>
  <c r="D154" i="3"/>
  <c r="D155" i="3"/>
  <c r="D156" i="3"/>
  <c r="D157" i="3"/>
  <c r="D158" i="3"/>
  <c r="F40" i="6" s="1"/>
  <c r="G40" i="6" s="1"/>
  <c r="D159" i="3"/>
  <c r="D160" i="3"/>
  <c r="D161" i="3"/>
  <c r="D162" i="3"/>
  <c r="D163" i="3"/>
  <c r="D164" i="3"/>
  <c r="F22" i="7" s="1"/>
  <c r="G22" i="7" s="1"/>
  <c r="D165" i="3"/>
  <c r="F44" i="6" s="1"/>
  <c r="G44" i="6" s="1"/>
  <c r="D166" i="3"/>
  <c r="D167" i="3"/>
  <c r="F55" i="6" s="1"/>
  <c r="G55" i="6" s="1"/>
  <c r="D168" i="3"/>
  <c r="F41" i="6" s="1"/>
  <c r="G41" i="6" s="1"/>
  <c r="D169" i="3"/>
  <c r="D170" i="3"/>
  <c r="F51" i="6" s="1"/>
  <c r="G51" i="6" s="1"/>
  <c r="D171" i="3"/>
  <c r="F52" i="6" s="1"/>
  <c r="G52" i="6" s="1"/>
  <c r="D172" i="3"/>
  <c r="D173" i="3"/>
  <c r="F20" i="7" s="1"/>
  <c r="G20" i="7" s="1"/>
  <c r="D174" i="3"/>
  <c r="D175" i="3"/>
  <c r="F47" i="6" s="1"/>
  <c r="G47" i="6" s="1"/>
  <c r="D176" i="3"/>
  <c r="F21" i="7" s="1"/>
  <c r="G21" i="7" s="1"/>
  <c r="D177" i="3"/>
  <c r="F48" i="6" s="1"/>
  <c r="G48" i="6" s="1"/>
  <c r="D178" i="3"/>
  <c r="F46" i="6" s="1"/>
  <c r="G46" i="6" s="1"/>
  <c r="D179" i="3"/>
  <c r="D180" i="3"/>
  <c r="F50" i="6" s="1"/>
  <c r="G50" i="6" s="1"/>
  <c r="D181" i="3"/>
  <c r="D182" i="3"/>
  <c r="D183" i="3"/>
  <c r="D184" i="3"/>
  <c r="D185" i="3"/>
  <c r="F45" i="6" s="1"/>
  <c r="G45" i="6" s="1"/>
  <c r="D186" i="3"/>
  <c r="D187" i="3"/>
  <c r="D188" i="3"/>
  <c r="D189" i="3"/>
  <c r="D190" i="3"/>
  <c r="D191" i="3"/>
  <c r="D192" i="3"/>
  <c r="D193" i="3"/>
  <c r="D194" i="3"/>
  <c r="D195" i="3"/>
  <c r="D196" i="3"/>
  <c r="F54" i="6" s="1"/>
  <c r="G54" i="6" s="1"/>
  <c r="D197" i="3"/>
  <c r="D198" i="3"/>
  <c r="D199" i="3"/>
  <c r="D200" i="3"/>
  <c r="D201" i="3"/>
  <c r="D202" i="3"/>
  <c r="D203" i="3"/>
  <c r="F23" i="7" s="1"/>
  <c r="G23" i="7" s="1"/>
  <c r="D204" i="3"/>
  <c r="F53" i="6" s="1"/>
  <c r="G53" i="6" s="1"/>
  <c r="D205" i="3"/>
  <c r="D206" i="3"/>
  <c r="D207" i="3"/>
  <c r="D208" i="3"/>
  <c r="D209" i="3"/>
  <c r="D210" i="3"/>
  <c r="D211" i="3"/>
  <c r="F24" i="7" s="1"/>
  <c r="G24" i="7" s="1"/>
  <c r="D212" i="3"/>
  <c r="D213" i="3"/>
  <c r="D214" i="3"/>
  <c r="D215" i="3"/>
  <c r="F26" i="7" s="1"/>
  <c r="G26" i="7" s="1"/>
  <c r="D216" i="3"/>
  <c r="D217" i="3"/>
  <c r="F25" i="7" s="1"/>
  <c r="G25" i="7" s="1"/>
  <c r="D218" i="3"/>
  <c r="D219" i="3"/>
  <c r="D220" i="3"/>
  <c r="D221" i="3"/>
  <c r="F28" i="7" s="1"/>
  <c r="G28" i="7" s="1"/>
  <c r="D222" i="3"/>
  <c r="F29" i="7" s="1"/>
  <c r="G29" i="7" s="1"/>
  <c r="D223" i="3"/>
  <c r="F64" i="6" s="1"/>
  <c r="G64" i="6" s="1"/>
  <c r="D224" i="3"/>
  <c r="F27" i="7" s="1"/>
  <c r="G27" i="7" s="1"/>
  <c r="D225" i="3"/>
  <c r="D226" i="3"/>
  <c r="D227" i="3"/>
  <c r="F67" i="6" s="1"/>
  <c r="G67" i="6" s="1"/>
  <c r="D228" i="3"/>
  <c r="D229" i="3"/>
  <c r="D230" i="3"/>
  <c r="D231" i="3"/>
  <c r="D232" i="3"/>
  <c r="F66" i="6" s="1"/>
  <c r="G66" i="6" s="1"/>
  <c r="D233" i="3"/>
  <c r="D234" i="3"/>
  <c r="D235" i="3"/>
  <c r="D236" i="3"/>
  <c r="F57" i="6" s="1"/>
  <c r="G57" i="6" s="1"/>
  <c r="D237" i="3"/>
  <c r="D238" i="3"/>
  <c r="D239" i="3"/>
  <c r="F58" i="6" s="1"/>
  <c r="G58" i="6" s="1"/>
  <c r="D240" i="3"/>
  <c r="D241" i="3"/>
  <c r="D242" i="3"/>
  <c r="D243" i="3"/>
  <c r="D244" i="3"/>
  <c r="D245" i="3"/>
  <c r="D246" i="3"/>
  <c r="F86" i="6" s="1"/>
  <c r="G86" i="6" s="1"/>
  <c r="D247" i="3"/>
  <c r="D248" i="3"/>
  <c r="D249" i="3"/>
  <c r="D250" i="3"/>
  <c r="D251" i="3"/>
  <c r="F37" i="7" s="1"/>
  <c r="G37" i="7" s="1"/>
  <c r="D252" i="3"/>
  <c r="F82" i="6" s="1"/>
  <c r="G82" i="6" s="1"/>
  <c r="D253" i="3"/>
  <c r="D254" i="3"/>
  <c r="D255" i="3"/>
  <c r="D256" i="3"/>
  <c r="D257" i="3"/>
  <c r="F39" i="7" s="1"/>
  <c r="G39" i="7" s="1"/>
  <c r="D258" i="3"/>
  <c r="D260" i="3"/>
  <c r="D261" i="3"/>
  <c r="D265" i="3"/>
  <c r="D266" i="3"/>
  <c r="F31" i="7" s="1"/>
  <c r="G31" i="7" s="1"/>
  <c r="D267" i="3"/>
  <c r="D268" i="3"/>
  <c r="D269" i="3"/>
  <c r="F73" i="6" s="1"/>
  <c r="G73" i="6" s="1"/>
  <c r="D270" i="3"/>
  <c r="D271" i="3"/>
  <c r="D272" i="3"/>
  <c r="D273" i="3"/>
  <c r="D274" i="3"/>
  <c r="D275" i="3"/>
  <c r="F75" i="6" s="1"/>
  <c r="G75" i="6" s="1"/>
  <c r="D276" i="3"/>
  <c r="D277" i="3"/>
  <c r="D278" i="3"/>
  <c r="D279" i="3"/>
  <c r="F32" i="7" s="1"/>
  <c r="G32" i="7" s="1"/>
  <c r="D280" i="3"/>
  <c r="D281" i="3"/>
  <c r="D282" i="3"/>
  <c r="D283" i="3"/>
  <c r="D284" i="3"/>
  <c r="F36" i="7" s="1"/>
  <c r="G36" i="7" s="1"/>
  <c r="D285" i="3"/>
  <c r="F35" i="7" s="1"/>
  <c r="G35" i="7" s="1"/>
  <c r="D286" i="3"/>
  <c r="F78" i="6" s="1"/>
  <c r="G78" i="6" s="1"/>
  <c r="D287" i="3"/>
  <c r="D288" i="3"/>
  <c r="D289" i="3"/>
  <c r="D290" i="3"/>
  <c r="D291" i="3"/>
  <c r="D292" i="3"/>
  <c r="D293" i="3"/>
  <c r="D294" i="3"/>
  <c r="F104" i="6" s="1"/>
  <c r="G104" i="6" s="1"/>
  <c r="D295" i="3"/>
  <c r="F40" i="7" s="1"/>
  <c r="G40" i="7" s="1"/>
  <c r="D296" i="3"/>
  <c r="D297" i="3"/>
  <c r="D298" i="3"/>
  <c r="D299" i="3"/>
  <c r="D300" i="3"/>
  <c r="D301" i="3"/>
  <c r="D302" i="3"/>
  <c r="D303" i="3"/>
  <c r="D304" i="3"/>
  <c r="F49" i="7" s="1"/>
  <c r="G49" i="7" s="1"/>
  <c r="D305" i="3"/>
  <c r="F109" i="6" s="1"/>
  <c r="G109" i="6" s="1"/>
  <c r="D306" i="3"/>
  <c r="D307" i="3"/>
  <c r="F50" i="7" s="1"/>
  <c r="G50" i="7" s="1"/>
  <c r="D308" i="3"/>
  <c r="D309" i="3"/>
  <c r="D310" i="3"/>
  <c r="D311" i="3"/>
  <c r="F112" i="6" s="1"/>
  <c r="G112" i="6" s="1"/>
  <c r="D312" i="3"/>
  <c r="F113" i="6" s="1"/>
  <c r="G113" i="6" s="1"/>
  <c r="D313" i="3"/>
  <c r="F111" i="6" s="1"/>
  <c r="G111" i="6" s="1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F115" i="6" s="1"/>
  <c r="G115" i="6" s="1"/>
  <c r="D331" i="3"/>
  <c r="F114" i="6" s="1"/>
  <c r="G114" i="6" s="1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F107" i="6" s="1"/>
  <c r="G107" i="6" s="1"/>
  <c r="D351" i="3"/>
  <c r="D352" i="3"/>
  <c r="D353" i="3"/>
  <c r="D354" i="3"/>
  <c r="D355" i="3"/>
  <c r="D356" i="3"/>
  <c r="D357" i="3"/>
  <c r="D358" i="3"/>
  <c r="D359" i="3"/>
  <c r="D360" i="3"/>
  <c r="F103" i="6" s="1"/>
  <c r="G103" i="6" s="1"/>
  <c r="D361" i="3"/>
  <c r="D362" i="3"/>
  <c r="D363" i="3"/>
  <c r="D364" i="3"/>
  <c r="F101" i="6" s="1"/>
  <c r="G101" i="6" s="1"/>
  <c r="D365" i="3"/>
  <c r="F46" i="7" s="1"/>
  <c r="G46" i="7" s="1"/>
  <c r="D366" i="3"/>
  <c r="F30" i="7" s="1"/>
  <c r="G30" i="7" s="1"/>
  <c r="D367" i="3"/>
  <c r="F70" i="6" s="1"/>
  <c r="G70" i="6" s="1"/>
  <c r="D368" i="3"/>
  <c r="F71" i="6" s="1"/>
  <c r="G71" i="6" s="1"/>
  <c r="D369" i="3"/>
  <c r="F69" i="6" s="1"/>
  <c r="G69" i="6" s="1"/>
  <c r="D370" i="3"/>
  <c r="D371" i="3"/>
  <c r="D372" i="3"/>
  <c r="D373" i="3"/>
  <c r="D374" i="3"/>
  <c r="D375" i="3"/>
  <c r="D376" i="3"/>
  <c r="F85" i="6" s="1"/>
  <c r="G85" i="6" s="1"/>
  <c r="D377" i="3"/>
  <c r="D378" i="3"/>
  <c r="D379" i="3"/>
  <c r="D380" i="3"/>
  <c r="D381" i="3"/>
  <c r="D382" i="3"/>
  <c r="D383" i="3"/>
  <c r="D384" i="3"/>
  <c r="D385" i="3"/>
  <c r="D386" i="3"/>
  <c r="D387" i="3"/>
  <c r="D388" i="3"/>
  <c r="F47" i="7" s="1"/>
  <c r="G47" i="7" s="1"/>
  <c r="D389" i="3"/>
  <c r="D390" i="3"/>
  <c r="D391" i="3"/>
  <c r="D392" i="3"/>
  <c r="D393" i="3"/>
  <c r="F65" i="6" l="1"/>
  <c r="G65" i="6" s="1"/>
  <c r="F12" i="6"/>
  <c r="G12" i="6" s="1"/>
  <c r="F116" i="6"/>
  <c r="G116" i="6" s="1"/>
  <c r="F84" i="6"/>
  <c r="G84" i="6" s="1"/>
  <c r="F63" i="6"/>
  <c r="G63" i="6" s="1"/>
  <c r="F42" i="6"/>
  <c r="G42" i="6" s="1"/>
  <c r="F21" i="6"/>
  <c r="G21" i="6" s="1"/>
  <c r="F80" i="6"/>
  <c r="G80" i="6" s="1"/>
  <c r="F20" i="6"/>
  <c r="G20" i="6" s="1"/>
  <c r="F18" i="6"/>
  <c r="G18" i="6" s="1"/>
  <c r="F110" i="6"/>
  <c r="G110" i="6" s="1"/>
  <c r="F87" i="6"/>
  <c r="G87" i="6" s="1"/>
  <c r="F24" i="6"/>
  <c r="G24" i="6" s="1"/>
  <c r="F26" i="6"/>
  <c r="G26" i="6" s="1"/>
  <c r="F68" i="6"/>
  <c r="G68" i="6" s="1"/>
  <c r="F5" i="6"/>
  <c r="G5" i="6" s="1"/>
  <c r="F15" i="6"/>
  <c r="G15" i="6" s="1"/>
  <c r="F27" i="6"/>
  <c r="G27" i="6" s="1"/>
  <c r="F102" i="6"/>
  <c r="G102" i="6" s="1"/>
  <c r="F60" i="6"/>
  <c r="G60" i="6" s="1"/>
  <c r="F13" i="6"/>
  <c r="G13" i="6" s="1"/>
  <c r="F96" i="6"/>
  <c r="G96" i="6" s="1"/>
  <c r="F79" i="6"/>
  <c r="G79" i="6" s="1"/>
  <c r="F105" i="6"/>
  <c r="G105" i="6" s="1"/>
  <c r="F108" i="6"/>
  <c r="G108" i="6" s="1"/>
  <c r="F16" i="6"/>
  <c r="G16" i="6" s="1"/>
  <c r="F88" i="6"/>
  <c r="G88" i="6" s="1"/>
  <c r="F74" i="6"/>
  <c r="G74" i="6" s="1"/>
  <c r="F81" i="6"/>
  <c r="G81" i="6" s="1"/>
  <c r="F61" i="6"/>
  <c r="G61" i="6" s="1"/>
  <c r="F56" i="6"/>
  <c r="G56" i="6" s="1"/>
  <c r="F8" i="6"/>
  <c r="G8" i="6" s="1"/>
  <c r="F36" i="6"/>
  <c r="G36" i="6" s="1"/>
  <c r="F72" i="6"/>
  <c r="G72" i="6" s="1"/>
  <c r="F3" i="6"/>
  <c r="G3" i="6" s="1"/>
  <c r="F90" i="6"/>
  <c r="G90" i="6" s="1"/>
  <c r="F62" i="6"/>
  <c r="G62" i="6" s="1"/>
  <c r="F43" i="6"/>
  <c r="G43" i="6" s="1"/>
  <c r="F49" i="6"/>
  <c r="G49" i="6" s="1"/>
  <c r="F37" i="6"/>
  <c r="G37" i="6" s="1"/>
  <c r="F7" i="6"/>
  <c r="G7" i="6" s="1"/>
  <c r="F59" i="6"/>
  <c r="G59" i="6" s="1"/>
  <c r="F17" i="6"/>
  <c r="G17" i="6" s="1"/>
  <c r="E22" i="1"/>
  <c r="G2" i="6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<sst xmlns="http://schemas.openxmlformats.org/spreadsheetml/2006/main" count="3835" uniqueCount="1198">
  <si>
    <t>Gauge</t>
  </si>
  <si>
    <t>IC/Battery Management/BQ40Z80RSMR/VQFN-32/32V/40mA/4.1mm x 4.1mm/TI</t>
  </si>
  <si>
    <t>B1500A002</t>
  </si>
  <si>
    <t>IC/BatteryManagement/BQ78350DBTR-R1/TSSOP-30/5.5V/650uA</t>
  </si>
  <si>
    <t>B1500A003</t>
  </si>
  <si>
    <t>IC/BatteryManagement/BQ7694003DBTR/TSSOP-44/25 V/40 uA/10.9mm*6.2mm/Texas Instruments</t>
  </si>
  <si>
    <t>B1501A001</t>
  </si>
  <si>
    <t>Communication IC</t>
  </si>
  <si>
    <t>IC/CAN Isolate/ISO1050DUBR/SOP8/3.3V,5V/52mA/200mW/9.5x6.57mm/TI</t>
  </si>
  <si>
    <t>B1501A002</t>
  </si>
  <si>
    <t>IC/RS-232/MAX232ECPWR/TSSOP16/5V/10mA/250kb/s/5.00 mm × 4.40 mm/TI</t>
  </si>
  <si>
    <t>B1501A003</t>
  </si>
  <si>
    <t>IC/ Interface/ISO1450DW/SOIC-16/5.5V/60mA/10.6mm×7.5mm/TexasInstruments</t>
  </si>
  <si>
    <t>B1501A004</t>
  </si>
  <si>
    <t>IC/CAN Interface/MCP2515-I/ST/TSSOP-20/5.5V/10mA/11.5mm×10.3mm/MicrochipTechnology</t>
  </si>
  <si>
    <t>B1501A005</t>
  </si>
  <si>
    <t>IC/CAN Interface/THVD2450DGKR/VSSOP-8/7V/24mA/3mm×3mm/TexasInstruments</t>
  </si>
  <si>
    <t>B1502A001</t>
  </si>
  <si>
    <t>Protection IC</t>
  </si>
  <si>
    <t>B1502A002</t>
  </si>
  <si>
    <t>IC/BatteryManagement/S8215AAA-I8T1U/SNT-8A/4.3 V/450 mW/2.9mmx4mm/ABLIC</t>
  </si>
  <si>
    <t>B1503A001</t>
  </si>
  <si>
    <t>Convert IC</t>
  </si>
  <si>
    <t>B1503A002</t>
  </si>
  <si>
    <t>B1504A001</t>
  </si>
  <si>
    <t>Other IC</t>
  </si>
  <si>
    <t>IC/EEPROM/M24M01-RMN6P/SOIC-8/5.5V/2mA/4.8mmx5.8mm/STMicroelectronics</t>
  </si>
  <si>
    <t>B1504A002</t>
  </si>
  <si>
    <t>IC/FLASH/MX25L6473FM2I-08G/SOIC-8/3.6V/64Mb/133MHz/5.13mm*7.9mm/Macronix</t>
  </si>
  <si>
    <t>B1504A003</t>
  </si>
  <si>
    <t>B1504A004</t>
  </si>
  <si>
    <t>IC/Inverters/SN74HC04ANSRE4/SOIC-14/6V/2uA/800uW/0/TexasInstruments</t>
  </si>
  <si>
    <t>B1504A005</t>
  </si>
  <si>
    <t>IC/ADC/AD7791BRMZ-REEL/MSOP-10/5V/75uA/3mmx4.9mm/AnalogDevices</t>
  </si>
  <si>
    <t>B1504A006</t>
  </si>
  <si>
    <t>IC/FlipFlops/TC7W74FK,LF/SSOP-8/6V/2uA/77MHz/2.9mmx4mm/Toshiba</t>
  </si>
  <si>
    <t>B1504A007</t>
  </si>
  <si>
    <t>B1504A008</t>
  </si>
  <si>
    <t>B1504A009</t>
  </si>
  <si>
    <t>IC/I/O Expanders/PCA9671PW,118/TSSOP-24/5.5 V/50 mA/600 mW/15.2mm*10mm/NXP Semiconductors</t>
  </si>
  <si>
    <t>B1504A010</t>
  </si>
  <si>
    <t>IC/Switch /SN3257QPWRQ1/TSSOP-16/5.5V/68 uA/3.16mmx4.1mm/Texas Instruments</t>
  </si>
  <si>
    <t>B1504A011</t>
  </si>
  <si>
    <t>B1504A012</t>
  </si>
  <si>
    <t>IC/ISOM8710/SOIC(DFF)-5/3.3V,5V/3.51mmx4.8mm/15MSmA/Texas Instruments</t>
  </si>
  <si>
    <t>B1504A013</t>
  </si>
  <si>
    <t>IC/LTC3894EFE/TSSOP-20-16/0.8~60V/9~16uA/150V/Analog Devices</t>
  </si>
  <si>
    <t>B1505A001</t>
  </si>
  <si>
    <t>Isolate IC</t>
  </si>
  <si>
    <t>IC/DigitalIsolators/ADUM1240ARZ/SOIC-8/3.6V/366uA/5mm×6.2mm/AnalogDevices</t>
  </si>
  <si>
    <t>B1505A002</t>
  </si>
  <si>
    <t>IC/DigitalIsolators/ISO1540DR/SOIC-8/5.5 V/3.1 mA/4.81mmx5.8mm/Texas Instruments</t>
  </si>
  <si>
    <t>B1506A001</t>
  </si>
  <si>
    <t>MCU</t>
  </si>
  <si>
    <t>IC/ARM Microcontrollers/STM32L431RCT6/LQFP64/3.6V/32bit/256kB/80MHz/10mm x 10mm/STMicroelectronics</t>
  </si>
  <si>
    <t>B1506A002</t>
  </si>
  <si>
    <t>IC/MCU/NUC230LD2AE/LQFP48/5.5V/32bit/64KB /72MHz/15.8mm×15.8mm/NUVOTON</t>
  </si>
  <si>
    <t>B1506A003</t>
  </si>
  <si>
    <t>IC/MCU/SH39F003/QFN48L/5.5V/120 mA/6mmx6mm/SINO WEALTH</t>
  </si>
  <si>
    <t>B1507A001</t>
  </si>
  <si>
    <t>LDO IC</t>
  </si>
  <si>
    <t>IC/LDO/EC8233B11GR/SOT23-3/30V/2uA//E-CMOS</t>
  </si>
  <si>
    <t>B1507A002</t>
  </si>
  <si>
    <t>IC/Switching Voltage Regulators/LMR50410XDBVR/SOT-23-6/28V/1A///2.90 mm × 1.60 mm/TI</t>
  </si>
  <si>
    <t>B1507A003</t>
  </si>
  <si>
    <t>IC/LDO/MCP1812AT-033-OT/SOT-23-5/3.3V/300mA////Microchip</t>
  </si>
  <si>
    <t>B1507A004</t>
  </si>
  <si>
    <t>IC/LDO/RT9074GSP(RICHTEK)/SOP-8/1.23V~60V/30uA/±3%/Richtek</t>
  </si>
  <si>
    <t>B1507A005</t>
  </si>
  <si>
    <t>IC/LDO/LM5018MR/NOPB/WSON-8/100V/300mA/6.8mmx4.8mm/TexasInstruments</t>
  </si>
  <si>
    <t>B1507A006</t>
  </si>
  <si>
    <t>IC/LDO/LM5164DDAR/8-SO-PowerPad/100V/1A/4.8mmx5.8mm/Texas Instruments</t>
  </si>
  <si>
    <t>B1507A007</t>
  </si>
  <si>
    <t>IC/LDO/EC8250B12GR/SOT23-3L/5.0V/2uA/±2%/446mW/3mmx3.8mm/H.S.F</t>
  </si>
  <si>
    <t>B1507A008</t>
  </si>
  <si>
    <t>IC/LDO/EC311125B1R/SOT23-3/30V/2uA/446mW/3mmx3.8mm/H.S.F</t>
  </si>
  <si>
    <t>B1507A009</t>
  </si>
  <si>
    <t>IC/LDO/FR9850/SOT-23-6/18V/2A/2.8 mmx2.6m/FITIPOWER</t>
  </si>
  <si>
    <t>B1507A010</t>
  </si>
  <si>
    <t>IC/LDO/AP7331-33WG-7/SOT25-5/3.3V/300mA/Diodes Incorporated</t>
  </si>
  <si>
    <t>B1509A001</t>
  </si>
  <si>
    <t>Resister 0603</t>
  </si>
  <si>
    <t>B1509A002</t>
  </si>
  <si>
    <t>B1509A003</t>
  </si>
  <si>
    <t>B1509A004</t>
  </si>
  <si>
    <t>B1509A005</t>
  </si>
  <si>
    <t>B1509A006</t>
  </si>
  <si>
    <t>B1509A007</t>
  </si>
  <si>
    <t>B1509A008</t>
  </si>
  <si>
    <t>B1509A009</t>
  </si>
  <si>
    <t>B1509A010</t>
  </si>
  <si>
    <t>B1509A011</t>
  </si>
  <si>
    <t>B1509A012</t>
  </si>
  <si>
    <t>B1509A013</t>
  </si>
  <si>
    <t>B1509A014</t>
  </si>
  <si>
    <t>B1509A015</t>
  </si>
  <si>
    <t>B1509A016</t>
  </si>
  <si>
    <t>B1509A017</t>
  </si>
  <si>
    <t>B1509A018</t>
  </si>
  <si>
    <t>B1509A019</t>
  </si>
  <si>
    <t>B1509A020</t>
  </si>
  <si>
    <t>B1509A021</t>
  </si>
  <si>
    <t>B1509A022</t>
  </si>
  <si>
    <t>B1509A023</t>
  </si>
  <si>
    <t>B1509A024</t>
  </si>
  <si>
    <t>B1509A025</t>
  </si>
  <si>
    <t>B1509A026</t>
  </si>
  <si>
    <t>B1509A027</t>
  </si>
  <si>
    <t>B1509A028</t>
  </si>
  <si>
    <t>B1509A029</t>
  </si>
  <si>
    <t>B1509A030</t>
  </si>
  <si>
    <t>B1509A031</t>
  </si>
  <si>
    <t>B1509A032</t>
  </si>
  <si>
    <t>B1509A033</t>
  </si>
  <si>
    <t>B1509A034</t>
  </si>
  <si>
    <t>B1509A035</t>
  </si>
  <si>
    <t>B1509A036</t>
  </si>
  <si>
    <t>B1509A037</t>
  </si>
  <si>
    <t>B1509A038</t>
  </si>
  <si>
    <t>B1509A039</t>
  </si>
  <si>
    <t>B1509A040</t>
  </si>
  <si>
    <t>B1509A041</t>
  </si>
  <si>
    <t>B1509A042</t>
  </si>
  <si>
    <t>B1509A043</t>
  </si>
  <si>
    <t>B1509A044</t>
  </si>
  <si>
    <t>B1509A045</t>
  </si>
  <si>
    <t>B1509A046</t>
  </si>
  <si>
    <t>B1509A047</t>
  </si>
  <si>
    <t>B1509A048</t>
  </si>
  <si>
    <t>B1509A049</t>
  </si>
  <si>
    <t>B1509A050</t>
  </si>
  <si>
    <t>B1509A051</t>
  </si>
  <si>
    <t>B1509A052</t>
  </si>
  <si>
    <t>B1509A053</t>
  </si>
  <si>
    <t>B1509A054</t>
  </si>
  <si>
    <t>B1509A055</t>
  </si>
  <si>
    <t>B1509A056</t>
  </si>
  <si>
    <t>B1509A057</t>
  </si>
  <si>
    <t>B1509A058</t>
  </si>
  <si>
    <t>B1509A059</t>
  </si>
  <si>
    <t>B1509A060</t>
  </si>
  <si>
    <t>B1509A061</t>
  </si>
  <si>
    <t>B1509A062</t>
  </si>
  <si>
    <t>B1509A063</t>
  </si>
  <si>
    <t>B1509A064</t>
  </si>
  <si>
    <t>B1509A065</t>
  </si>
  <si>
    <t>B1509A066</t>
  </si>
  <si>
    <t>B1509A067</t>
  </si>
  <si>
    <t>B1509A068</t>
  </si>
  <si>
    <t>B1509A069</t>
  </si>
  <si>
    <t>B1509A070</t>
  </si>
  <si>
    <t>B1509A071</t>
  </si>
  <si>
    <t>B1509A072</t>
  </si>
  <si>
    <t>B1509A073</t>
  </si>
  <si>
    <t>B1509A074</t>
  </si>
  <si>
    <t>B1509A075</t>
  </si>
  <si>
    <t>B1509A076</t>
  </si>
  <si>
    <t>B1509A077</t>
  </si>
  <si>
    <t>B1509A078</t>
    <phoneticPr fontId="3" type="noConversion"/>
  </si>
  <si>
    <t>B1509A079</t>
  </si>
  <si>
    <t>B1509A080</t>
  </si>
  <si>
    <t>B1509A081</t>
  </si>
  <si>
    <t>B1509A082</t>
  </si>
  <si>
    <t>B1510A001</t>
  </si>
  <si>
    <t>Resister 0805</t>
  </si>
  <si>
    <t>B1510A002</t>
  </si>
  <si>
    <t>B1510A003</t>
  </si>
  <si>
    <t>B1510A004</t>
  </si>
  <si>
    <t>B1510A005</t>
  </si>
  <si>
    <t>B1510A006</t>
  </si>
  <si>
    <t>B1510A007</t>
  </si>
  <si>
    <t>B1510A008</t>
  </si>
  <si>
    <t>B1510A009</t>
  </si>
  <si>
    <t>B1510A010</t>
  </si>
  <si>
    <t>B1510A011</t>
  </si>
  <si>
    <t>B1510A012</t>
  </si>
  <si>
    <t>B1510A013</t>
  </si>
  <si>
    <t>B1510A014</t>
  </si>
  <si>
    <t>B1510A015</t>
  </si>
  <si>
    <t>B1511A001</t>
  </si>
  <si>
    <t>Resister 1206~2512</t>
  </si>
  <si>
    <t>B1511A002</t>
  </si>
  <si>
    <t>B1511A003</t>
  </si>
  <si>
    <t>B1511A004</t>
  </si>
  <si>
    <t>B1511A005</t>
  </si>
  <si>
    <t>B1511A006</t>
  </si>
  <si>
    <t>B1511A007</t>
  </si>
  <si>
    <t>B1511A008</t>
  </si>
  <si>
    <t>B1511A009</t>
  </si>
  <si>
    <t>B1511A010</t>
  </si>
  <si>
    <t>RES/RC1210FR-073KL/3K/1210/200V/1%/1/2W/YAGEO</t>
  </si>
  <si>
    <t>B1512A001</t>
  </si>
  <si>
    <t>Resister Other Size</t>
  </si>
  <si>
    <t>B1513A001</t>
  </si>
  <si>
    <t>Thermistor</t>
  </si>
  <si>
    <t>B1513A002</t>
  </si>
  <si>
    <t>B1515A001</t>
  </si>
  <si>
    <t>R-Sense</t>
  </si>
  <si>
    <t>B1515A002</t>
  </si>
  <si>
    <t>B1515A003</t>
  </si>
  <si>
    <t>R-Sense/MCSS2512/2512/3W-5W/4mOhm/1%/MnCu</t>
  </si>
  <si>
    <t>B1515A004</t>
  </si>
  <si>
    <t>B1515A005</t>
  </si>
  <si>
    <t>B1517A001</t>
  </si>
  <si>
    <t>Capacity 0603</t>
  </si>
  <si>
    <t>B1517A002</t>
  </si>
  <si>
    <t>B1517A003</t>
  </si>
  <si>
    <t>B1517A004</t>
  </si>
  <si>
    <t>B1517A005</t>
  </si>
  <si>
    <t>B1517A006</t>
  </si>
  <si>
    <t>B1517A007</t>
  </si>
  <si>
    <t>B1517A008</t>
  </si>
  <si>
    <t>B1517A009</t>
  </si>
  <si>
    <t>B1517A010</t>
  </si>
  <si>
    <t>B1517A011</t>
  </si>
  <si>
    <t>B1517A012</t>
  </si>
  <si>
    <t>B1517A013</t>
  </si>
  <si>
    <t>B1517A015</t>
  </si>
  <si>
    <t>B1517A016</t>
  </si>
  <si>
    <t>B1517A017</t>
  </si>
  <si>
    <t>B1517A018</t>
  </si>
  <si>
    <t>B1517A020</t>
  </si>
  <si>
    <t>B1517A021</t>
  </si>
  <si>
    <t>B1517A022</t>
  </si>
  <si>
    <t>B1517A023</t>
  </si>
  <si>
    <t>B1517A024</t>
  </si>
  <si>
    <t>B1517A025</t>
  </si>
  <si>
    <t>B1517A026</t>
  </si>
  <si>
    <t>Cap/2.2uF/0603/10V/10%/YAGEO</t>
  </si>
  <si>
    <t>B1517A027</t>
  </si>
  <si>
    <t>Cap/6.8nF/0603/50V/10%/YAGEO</t>
  </si>
  <si>
    <t>B1517A028</t>
  </si>
  <si>
    <t>B1517A029</t>
  </si>
  <si>
    <t>B1517A030</t>
  </si>
  <si>
    <t>Cap/0.1uF/0603/16V/10%/YAGEO</t>
  </si>
  <si>
    <t>B1517A031</t>
  </si>
  <si>
    <t>B1517A033</t>
  </si>
  <si>
    <t>B1517A034</t>
  </si>
  <si>
    <t>B1517A035</t>
  </si>
  <si>
    <t>B1518A001</t>
  </si>
  <si>
    <t>Capacity 0805</t>
  </si>
  <si>
    <t>B1518A002</t>
  </si>
  <si>
    <t>B1518A003</t>
  </si>
  <si>
    <t>B1518A004</t>
  </si>
  <si>
    <t>B1518A005</t>
  </si>
  <si>
    <t>Cap/22uf/0805/25V/20%/Murata</t>
  </si>
  <si>
    <t>B1518A006</t>
  </si>
  <si>
    <t>B1518A007</t>
  </si>
  <si>
    <t>B1519A001</t>
  </si>
  <si>
    <t>Capacity 1206 ~1812</t>
  </si>
  <si>
    <t>B1519A002</t>
  </si>
  <si>
    <t>B1519A003</t>
  </si>
  <si>
    <t>B1519A004</t>
  </si>
  <si>
    <t>Capacity 1210</t>
  </si>
  <si>
    <t>B1519A005</t>
  </si>
  <si>
    <t>B1519A006</t>
  </si>
  <si>
    <t>B1519A007</t>
  </si>
  <si>
    <t>B1523A001</t>
  </si>
  <si>
    <t>Diode</t>
  </si>
  <si>
    <t>B1523A002</t>
  </si>
  <si>
    <t>Diode/SCS4148LWS-C/SOD-323L/100V/150mA/SECOS</t>
  </si>
  <si>
    <t>B1523A003</t>
  </si>
  <si>
    <t>B1523A004</t>
  </si>
  <si>
    <t>Switching Diodes/BAV20WS-7-F/SOD-323/150V/200mW/Diodes</t>
  </si>
  <si>
    <t>B1523A006</t>
  </si>
  <si>
    <t>B1524A001</t>
  </si>
  <si>
    <t>Schottky Diode</t>
  </si>
  <si>
    <t>Schottky/BAT54C-C/SOD-23/30V/200mA/SECOS</t>
  </si>
  <si>
    <t>B1524A002</t>
  </si>
  <si>
    <t>Schottky/SD103AWS/SOD-323L/40V/350mA/SECOS</t>
  </si>
  <si>
    <t>B1524A003</t>
  </si>
  <si>
    <t>Schottky/SR510-H/SMB/DO-214AA/100V/5A/YEA SHIN</t>
  </si>
  <si>
    <t>B1524A004</t>
  </si>
  <si>
    <t>Schottky/SS1040HEWS/SOD-323HE/40V/22A/PANJIT</t>
  </si>
  <si>
    <t>B1524A005</t>
  </si>
  <si>
    <t>Schottky /PDS4150-13/PowerDI5-3/Diodes</t>
  </si>
  <si>
    <t>B1524A006</t>
  </si>
  <si>
    <t>Schottky/V1PM10-M3/H/DO-219AD/VRRM=100V/IF=1A/VISHAY</t>
  </si>
  <si>
    <t>B1525A001</t>
  </si>
  <si>
    <t>Zener Diode</t>
  </si>
  <si>
    <t>Zener/BZD84C5V6/SOT-23(123)/5.6V/5mA/SECOS</t>
  </si>
  <si>
    <t>B1525A002</t>
  </si>
  <si>
    <t>Zener/MM3Z18VCW-C/SOT-323L(CA)/18V/5mA/SECOS</t>
  </si>
  <si>
    <t>B1525A003</t>
  </si>
  <si>
    <t>Zener/MM3Z3V6CW-C/SOT-323L(CA)/3.6V/5mA/SECOS</t>
  </si>
  <si>
    <t>B1525A004</t>
  </si>
  <si>
    <t>Zener/MM3Z5V6CW-C/SOT-323L(CA)/5.6V/5mA/SECOS</t>
  </si>
  <si>
    <t>B1525A005</t>
  </si>
  <si>
    <t>Zener/MM3Z27VCW-C/SOD-323L/27V/2mA/SECOS</t>
  </si>
  <si>
    <t>B1525A006</t>
  </si>
  <si>
    <t>Zener/MM3Z20VBW-C/SOD-323L/20V/1mA/SECOS</t>
  </si>
  <si>
    <t>B1525A007</t>
  </si>
  <si>
    <t>Zener/MM3Z12VCW-C/SOD-323L/12.6V/5mA/SECOS</t>
  </si>
  <si>
    <t>B1525A008</t>
  </si>
  <si>
    <t>Zener/BZT52-C18S_R1_00001/SOD-323-2/18 V/0.1 uA/200 mW/Panjit</t>
  </si>
  <si>
    <t>B1525A009</t>
  </si>
  <si>
    <t>Zener/SS33/DO-214AB/30V/3A/onsemi/Fairchild</t>
  </si>
  <si>
    <t>B1525A010</t>
  </si>
  <si>
    <t>Zener/SUF305C-C/5.5mm*7mm/600V/3A/SECOS</t>
  </si>
  <si>
    <t>B1525A011</t>
  </si>
  <si>
    <t>Zener/MM3Z3V3CW-C/SOT-323L(CA)/3.3V/5mA/SECOS</t>
  </si>
  <si>
    <t>B1525A012</t>
  </si>
  <si>
    <t>Zener/MM3Z22VCW-C/SOD-323L/22V/5mA/SECOS</t>
  </si>
  <si>
    <t>B1525A013</t>
  </si>
  <si>
    <t>Zener/MM3Z8V2CW-C/SOT-323L(CA)/8.2V/5mA/SECOS</t>
  </si>
  <si>
    <t>B1525A014</t>
  </si>
  <si>
    <t>Zener/MM3Z18VBW-C/SOD-323L/18V/5mA/SECOS</t>
  </si>
  <si>
    <t>B1525A015</t>
  </si>
  <si>
    <t>Zener/MM3Z33VCW-C/SOD-323L/23V/2mA/SECOS</t>
  </si>
  <si>
    <t>B1526A001</t>
  </si>
  <si>
    <t>TVS</t>
  </si>
  <si>
    <t>B1526A002</t>
  </si>
  <si>
    <t>B1526A003</t>
  </si>
  <si>
    <t>TVS/SGMD24C-C/SOT-23/24V/7A/SECOS</t>
  </si>
  <si>
    <t>B1526A004</t>
  </si>
  <si>
    <t>TVS/SMCJ60A/DO-214AB-2/60 V/15.5 A/SECOS</t>
  </si>
  <si>
    <t>B1526A005</t>
  </si>
  <si>
    <t>B1526A006</t>
  </si>
  <si>
    <t>TVS/SMCJ36A/DO-214AB-2/36 V/25.9 A/SECOS</t>
  </si>
  <si>
    <t>B1526A007</t>
  </si>
  <si>
    <t>TVS/SM540B/40V/5A/SECOS</t>
  </si>
  <si>
    <t>B1526A008</t>
  </si>
  <si>
    <t>TVS/SMCJ60CA-C/DO-214AB-2/60V/15.5A/SECOS</t>
  </si>
  <si>
    <t>B1527A001</t>
  </si>
  <si>
    <t>Varistor</t>
  </si>
  <si>
    <t>B1528A001</t>
  </si>
  <si>
    <t>LED SMD</t>
  </si>
  <si>
    <t>B1528A002</t>
  </si>
  <si>
    <t>B1528A003</t>
  </si>
  <si>
    <t>LED/Dip/TOL-503PGQC-B/5V/50mA</t>
  </si>
  <si>
    <t>B1529A001</t>
  </si>
  <si>
    <t>FUSE SMD</t>
  </si>
  <si>
    <t>B1529A002</t>
  </si>
  <si>
    <t>B1529A003</t>
  </si>
  <si>
    <t>B1529A004</t>
  </si>
  <si>
    <t>B1529A005</t>
  </si>
  <si>
    <t>FUSE/0451001.MRL/6.1 mm x 2.69 mm/125 VDC/1A/Res=78 mOhm/Littelfuse</t>
  </si>
  <si>
    <t>B1529A006</t>
  </si>
  <si>
    <t>FUSE/0501020.WRS/1206/32 VDC/20A/Res=1.94 mOhm/Littelfuse</t>
  </si>
  <si>
    <t>B1529A007</t>
  </si>
  <si>
    <t>B1529A008</t>
  </si>
  <si>
    <t>B1529A009</t>
  </si>
  <si>
    <t>B1529A010</t>
  </si>
  <si>
    <t>B1529A011</t>
  </si>
  <si>
    <t>B1532A001</t>
  </si>
  <si>
    <t>MOSFET POWER N</t>
  </si>
  <si>
    <t>B1532A003</t>
  </si>
  <si>
    <t>N-MOS/AP10NA1R5TL/TTLL/100V/300A/1.5mohm/Vth=4V/APEC</t>
  </si>
  <si>
    <t>B1534A001</t>
  </si>
  <si>
    <t>ADS7128/I2C/Texas Instruments</t>
  </si>
  <si>
    <t>B1535A001</t>
  </si>
  <si>
    <t>MOSFET Signal N</t>
  </si>
  <si>
    <t>B1535A002</t>
  </si>
  <si>
    <t>B1535A003</t>
  </si>
  <si>
    <t>B1535A004</t>
  </si>
  <si>
    <t>B1535A005</t>
  </si>
  <si>
    <t>B1535A006</t>
  </si>
  <si>
    <t>N-MOS/IRLML0100TRPBF/SOT-23-3/100V/1.6A/235mOhm/Vth=1.5V/Infineon</t>
  </si>
  <si>
    <t>B1535A007</t>
  </si>
  <si>
    <t>N-MOS/IRLML6346TRPBF/SOT-23-3/30V/3.4 A/63 mOhm/Vth=800mV/Infineon</t>
  </si>
  <si>
    <t>B1535A008</t>
  </si>
  <si>
    <t>N-MOS/BSS806N H6327/SOT-23-3/20V/2.3 A/41 mOhm/Vth=500mV/Infineon</t>
  </si>
  <si>
    <t>B1535A009</t>
  </si>
  <si>
    <t>B1535A010</t>
  </si>
  <si>
    <t>N-MOS/DMT10H009SPS-13/PowerDI5060-8/100V/80 A/8.5 mOhm/Vth=2V/Diodes</t>
    <phoneticPr fontId="3" type="noConversion"/>
  </si>
  <si>
    <t>B1535A011</t>
  </si>
  <si>
    <t>B1535A012</t>
  </si>
  <si>
    <t>N-MOS/AONS66609/DFN 5x6/60V/304A/1.25mOhm/Vth=3.3V/Alpha</t>
  </si>
  <si>
    <t>B1535A013</t>
  </si>
  <si>
    <t>N-MOS/AO3406/SOT-23/30V/3.6A/50mOhm/Vth=2.5V/Alpha</t>
  </si>
  <si>
    <t>B1535A014</t>
  </si>
  <si>
    <t>B1535A015</t>
  </si>
  <si>
    <t>N-MOS/AP15NA3R9TL/TTLL/150V/13.5A/3.9mohm/Vth=4/APEC</t>
  </si>
  <si>
    <t>B1535A016</t>
  </si>
  <si>
    <t>B1535A017</t>
  </si>
  <si>
    <t>N-MOS/SIR632DP/150V/29A/0.0345ohmVth=4V/VISHAY</t>
  </si>
  <si>
    <t>B1535A018</t>
  </si>
  <si>
    <t>N-MOS/AP10NA8R4MT/POWERDI15060-8/100V/66.5A/8.4A/8.4mOhm/APEC</t>
  </si>
  <si>
    <t>B1536A001</t>
  </si>
  <si>
    <t>MOSFET Signal P</t>
  </si>
  <si>
    <t>B1536A002</t>
  </si>
  <si>
    <t>B1536A003</t>
  </si>
  <si>
    <t>B1536A004</t>
  </si>
  <si>
    <t>B1536A005</t>
  </si>
  <si>
    <t>P-MOS/AOD423/TO-252-DPAK/-30V/-70A/6.2mOhm/Vth=-3.5V/Alpha</t>
  </si>
  <si>
    <t>B1536A006</t>
  </si>
  <si>
    <t>P-MOS/AFP2325A/SOT-23/-100V/-1A/600mOhmVth=-2.5V/Alfa</t>
  </si>
  <si>
    <t>B1536A007</t>
  </si>
  <si>
    <t>P-MOS/SQ2325ES/SOT-23/150V/0.84A/1.3ohmVth=3.5V/VISHAY</t>
  </si>
  <si>
    <t>B1536A008</t>
  </si>
  <si>
    <t>P-MOS/FDMC86259P/-150V/-13A/107mohmVth=-4V/ONSEMI</t>
  </si>
  <si>
    <t>B1538A001</t>
  </si>
  <si>
    <t>HV Relay</t>
  </si>
  <si>
    <t>Relay/AB38S-Q/0 V ~ 600 V/70 mA/60 Ohms/4-SOP/Comus </t>
  </si>
  <si>
    <t>B1538A002</t>
  </si>
  <si>
    <t>Relays/FTR-H2AL012T/400 VAC/ 300 VDC/10A/575 Ohms/Fujitsu</t>
  </si>
  <si>
    <t>B1540A001</t>
  </si>
  <si>
    <t>B1542A001</t>
  </si>
  <si>
    <t>Contact switch</t>
  </si>
  <si>
    <t>B1542A002</t>
  </si>
  <si>
    <t>B1542A003</t>
  </si>
  <si>
    <t>B1542A005</t>
  </si>
  <si>
    <t>B1542A006</t>
  </si>
  <si>
    <t>B1542A007</t>
  </si>
  <si>
    <t>B1543A001</t>
  </si>
  <si>
    <t>Socket</t>
  </si>
  <si>
    <t>B1543A002</t>
  </si>
  <si>
    <t>B1544A001</t>
  </si>
  <si>
    <t>Wafer Connector</t>
  </si>
  <si>
    <t>B1544A002</t>
  </si>
  <si>
    <t>B1544A003</t>
  </si>
  <si>
    <t>B1544A004</t>
  </si>
  <si>
    <t>B1544A005</t>
  </si>
  <si>
    <t>B1544A006</t>
  </si>
  <si>
    <t>B1544A007</t>
  </si>
  <si>
    <t>B1544A008</t>
  </si>
  <si>
    <t>B1544A009</t>
  </si>
  <si>
    <t>B1544A010</t>
  </si>
  <si>
    <t>B1544A011</t>
  </si>
  <si>
    <t>B1544A012</t>
  </si>
  <si>
    <t>B1544A013</t>
  </si>
  <si>
    <t>B1544A014</t>
  </si>
  <si>
    <t>B1544A015</t>
  </si>
  <si>
    <t>B1544A016</t>
  </si>
  <si>
    <t>B1544A017</t>
  </si>
  <si>
    <t>B1544A018</t>
  </si>
  <si>
    <t>B1544A019</t>
  </si>
  <si>
    <t>B1544A020</t>
  </si>
  <si>
    <t>B1544A021</t>
  </si>
  <si>
    <t>B1544A022</t>
  </si>
  <si>
    <t>B1544A023</t>
  </si>
  <si>
    <t>B1544A024</t>
  </si>
  <si>
    <t>B1544A025</t>
  </si>
  <si>
    <t>B1544A026</t>
  </si>
  <si>
    <t>B1544A027</t>
  </si>
  <si>
    <t>B1544A028</t>
  </si>
  <si>
    <t>B1544A029</t>
  </si>
  <si>
    <t>B1544A030</t>
  </si>
  <si>
    <t>B1544A031</t>
  </si>
  <si>
    <t>B1544A032</t>
  </si>
  <si>
    <t>B1544A033</t>
  </si>
  <si>
    <t>B1544A034</t>
  </si>
  <si>
    <t>B1544A035</t>
  </si>
  <si>
    <t>B1544A036</t>
  </si>
  <si>
    <t>B1544A037</t>
  </si>
  <si>
    <t>B1544A038</t>
  </si>
  <si>
    <t>B1544A039</t>
  </si>
  <si>
    <t>B1544A040</t>
  </si>
  <si>
    <t>B1544A041</t>
  </si>
  <si>
    <t>B1544A042</t>
  </si>
  <si>
    <t>B1545A001</t>
  </si>
  <si>
    <t>LED DIP</t>
  </si>
  <si>
    <t>B1545A002</t>
  </si>
  <si>
    <t>B1545A003</t>
  </si>
  <si>
    <t>LED/Dip/5mm/Red/TOL-503URPC-B/2.4V/30mA</t>
  </si>
  <si>
    <t>B1546A011</t>
  </si>
  <si>
    <t>Pin Header</t>
  </si>
  <si>
    <t>B1546A012</t>
  </si>
  <si>
    <t>B1547A002</t>
  </si>
  <si>
    <t>DIP Resister</t>
  </si>
  <si>
    <t>DIP RES/MOS3CT631R101J/100R/3W/5%/KOA</t>
  </si>
  <si>
    <t>B1548A001</t>
  </si>
  <si>
    <t>GUS-PCB-2203-V01</t>
  </si>
  <si>
    <t>B1548A002</t>
  </si>
  <si>
    <t>143x113xT1.6mm</t>
  </si>
  <si>
    <t>B1548A003</t>
  </si>
  <si>
    <t>96.6x38xT1.6mm</t>
  </si>
  <si>
    <t>B1548A004</t>
  </si>
  <si>
    <t>238x113xT1.6mm</t>
  </si>
  <si>
    <t>B1548A008</t>
  </si>
  <si>
    <t>B1548B002</t>
  </si>
  <si>
    <t>B1548B003</t>
  </si>
  <si>
    <t>B1548B004</t>
  </si>
  <si>
    <t>B1548C001</t>
  </si>
  <si>
    <t>B1549A001</t>
  </si>
  <si>
    <t>B1549A002</t>
  </si>
  <si>
    <t>B1549A003</t>
  </si>
  <si>
    <t>Photocoupler/EL3H7(B)(TA)-G/4-SMD/7V/5mA/200 mW/Everlight</t>
  </si>
  <si>
    <t>B1549A004</t>
  </si>
  <si>
    <t>Photocoupler/6N137S-TA1/8-SMD/5V/10mA/85mW/Lite-On</t>
  </si>
  <si>
    <t>B1549A005</t>
  </si>
  <si>
    <t>Photocoupler/EL817S1(C)(TU)-F/SMD-4/6V/60mA/200mW/Everlight</t>
  </si>
  <si>
    <t>B1549A006</t>
  </si>
  <si>
    <t>Photocoupler/ISOM8710/DFF0005A-C01/VCC6V/IF25mA/PDI75mW/TI</t>
  </si>
  <si>
    <t>B1550A001</t>
  </si>
  <si>
    <t>B1550A002</t>
  </si>
  <si>
    <t>B1550A003</t>
  </si>
  <si>
    <t>B1550A004</t>
  </si>
  <si>
    <t>Inductance/PCMB104T-680MS/68 uH/22 A/2.7 mOhms/PSA</t>
    <phoneticPr fontId="3" type="noConversion"/>
  </si>
  <si>
    <t>B1550A005</t>
  </si>
  <si>
    <t>Inductance/CSMW0418D-221M-LRH/22 uH/270mA/4 MHz/PSA</t>
  </si>
  <si>
    <t>B1550A006</t>
  </si>
  <si>
    <t>Inductance/SPM3020T-3R3M/3.3 uH/2.2 A/127.4 mOhms/TDK</t>
  </si>
  <si>
    <t>B1550A007</t>
  </si>
  <si>
    <t>Inductance/PCMB104T-100MS/10 uH/7.5A/30mOhms/PSA</t>
  </si>
  <si>
    <t>B1550A008</t>
  </si>
  <si>
    <t>B1550A009</t>
  </si>
  <si>
    <t>B1550A010</t>
  </si>
  <si>
    <t>B1551A001</t>
  </si>
  <si>
    <t>B1551A002</t>
  </si>
  <si>
    <t>B1551A003</t>
  </si>
  <si>
    <t>B1551A004</t>
  </si>
  <si>
    <t>B1552A001</t>
  </si>
  <si>
    <t>Real Time Clock (RTC)</t>
  </si>
  <si>
    <t>B1553A001</t>
  </si>
  <si>
    <t>Dip Switch</t>
  </si>
  <si>
    <t>B1553A002</t>
  </si>
  <si>
    <t>B1553A003</t>
  </si>
  <si>
    <t>B1553A004</t>
  </si>
  <si>
    <t>B1553A005</t>
  </si>
  <si>
    <t>B1554A001</t>
  </si>
  <si>
    <t>Other Connector</t>
  </si>
  <si>
    <t>B1554A002</t>
  </si>
  <si>
    <t>B1554A003</t>
  </si>
  <si>
    <t>B1554A004</t>
  </si>
  <si>
    <t>B1555A001</t>
  </si>
  <si>
    <t>BJT/PNP/MMBT3906/SOT-23-3/VCO -40V/IC - 200 mA/Nexperia</t>
  </si>
  <si>
    <t>B1555A002</t>
  </si>
  <si>
    <t>BJT/PNP/MMBT2907A/SOT-23-3/VCO -60V/IC - 600 mA/SECOS</t>
  </si>
  <si>
    <t>B1555A003</t>
  </si>
  <si>
    <t>BJT/NPN/MMBT3904-C/SOT-23-3/VCO -40V/IC - 200 mA/SECOS</t>
  </si>
  <si>
    <t>B1556A001</t>
  </si>
  <si>
    <t>USB</t>
  </si>
  <si>
    <t>日期</t>
    <phoneticPr fontId="1" type="noConversion"/>
  </si>
  <si>
    <t>料號</t>
    <phoneticPr fontId="1" type="noConversion"/>
  </si>
  <si>
    <t>品名</t>
    <phoneticPr fontId="1" type="noConversion"/>
  </si>
  <si>
    <t>規格</t>
    <phoneticPr fontId="1" type="noConversion"/>
  </si>
  <si>
    <t>出入庫</t>
    <phoneticPr fontId="1" type="noConversion"/>
  </si>
  <si>
    <t>數量</t>
    <phoneticPr fontId="1" type="noConversion"/>
  </si>
  <si>
    <t>目的</t>
    <phoneticPr fontId="1" type="noConversion"/>
  </si>
  <si>
    <r>
      <rPr>
        <sz val="16"/>
        <rFont val="新細明體"/>
        <family val="1"/>
        <charset val="136"/>
      </rPr>
      <t>品名</t>
    </r>
  </si>
  <si>
    <r>
      <rPr>
        <sz val="16"/>
        <rFont val="新細明體"/>
        <family val="1"/>
        <charset val="136"/>
      </rPr>
      <t>規格</t>
    </r>
  </si>
  <si>
    <r>
      <t xml:space="preserve">IC/ISO 5V/B0505s-1wR3/4-SIP </t>
    </r>
    <r>
      <rPr>
        <sz val="12"/>
        <rFont val="新細明體"/>
        <family val="1"/>
        <charset val="136"/>
      </rPr>
      <t>模組</t>
    </r>
    <r>
      <rPr>
        <sz val="12"/>
        <rFont val="Calibri"/>
        <family val="2"/>
      </rPr>
      <t>/5V/200mA/11.6mm x 6.0mm x 10.2mm/Mornsun</t>
    </r>
  </si>
  <si>
    <r>
      <t>IC/</t>
    </r>
    <r>
      <rPr>
        <sz val="12"/>
        <rFont val="新細明體"/>
        <family val="1"/>
        <charset val="136"/>
      </rPr>
      <t>精密放大器</t>
    </r>
    <r>
      <rPr>
        <sz val="12"/>
        <rFont val="Calibri"/>
        <family val="2"/>
      </rPr>
      <t>/AD8538AUJZ-REEL7/TSOT-23-5/2.7V~5.5V/180uA/3mmx4.9mm/AnalogDevicesInc.</t>
    </r>
  </si>
  <si>
    <r>
      <t>IC/</t>
    </r>
    <r>
      <rPr>
        <sz val="12"/>
        <rFont val="新細明體"/>
        <family val="1"/>
        <charset val="136"/>
      </rPr>
      <t>編碼器</t>
    </r>
    <r>
      <rPr>
        <sz val="12"/>
        <rFont val="Calibri"/>
        <family val="2"/>
      </rPr>
      <t>/CD74HC138QM96Q1/SOIC-Narrow-16/6V/5.2mA/28 MHz/9.8mm*5.8mm/Texas Instruments</t>
    </r>
  </si>
  <si>
    <r>
      <t>IC/</t>
    </r>
    <r>
      <rPr>
        <sz val="12"/>
        <rFont val="新細明體"/>
        <family val="1"/>
        <charset val="136"/>
      </rPr>
      <t>放大器</t>
    </r>
    <r>
      <rPr>
        <sz val="12"/>
        <rFont val="Calibri"/>
        <family val="2"/>
      </rPr>
      <t>/MAX999AAUK+T/SOT-23-5/5.5 V/6.5 mA/3mmx4.9mm/Maxim Integrated</t>
    </r>
  </si>
  <si>
    <r>
      <t>IC/</t>
    </r>
    <r>
      <rPr>
        <sz val="12"/>
        <rFont val="新細明體"/>
        <family val="1"/>
        <charset val="136"/>
      </rPr>
      <t>放大器</t>
    </r>
    <r>
      <rPr>
        <sz val="12"/>
        <rFont val="Calibri"/>
        <family val="2"/>
      </rPr>
      <t>/LM339APWR/TSSOP-14/30 V/500 uA/8.70 mm × 3.90 mm/Texas Instruments</t>
    </r>
  </si>
  <si>
    <r>
      <t>RES/WR06X000PTL/0R/0603/75V/JUMP/1/10W/</t>
    </r>
    <r>
      <rPr>
        <sz val="12"/>
        <rFont val="新細明體"/>
        <family val="1"/>
        <charset val="136"/>
      </rPr>
      <t>華新科</t>
    </r>
  </si>
  <si>
    <r>
      <t>RES/WR06X1101FTL/1.1K/0603/75V/1%/1/10W/</t>
    </r>
    <r>
      <rPr>
        <sz val="12"/>
        <rFont val="新細明體"/>
        <family val="1"/>
        <charset val="136"/>
      </rPr>
      <t>華新科</t>
    </r>
  </si>
  <si>
    <r>
      <t>RES/WR06X1003FTL/100K/0603/75V/1%/1/10W/</t>
    </r>
    <r>
      <rPr>
        <sz val="12"/>
        <rFont val="新細明體"/>
        <family val="1"/>
        <charset val="136"/>
      </rPr>
      <t>華新科</t>
    </r>
  </si>
  <si>
    <r>
      <t>RES/WF06H1002BTL/10K/0603/75V/0.1%/1/10W/</t>
    </r>
    <r>
      <rPr>
        <sz val="12"/>
        <rFont val="新細明體"/>
        <family val="1"/>
        <charset val="136"/>
      </rPr>
      <t>華新科</t>
    </r>
  </si>
  <si>
    <r>
      <t>RES/WR06X1153FTL/115K/0603/75V/1%/1/10W/</t>
    </r>
    <r>
      <rPr>
        <sz val="12"/>
        <rFont val="新細明體"/>
        <family val="1"/>
        <charset val="136"/>
      </rPr>
      <t>華新科</t>
    </r>
  </si>
  <si>
    <r>
      <t>RES/WR06X1200FTL/120R/0603/75V/1%/1/10W/</t>
    </r>
    <r>
      <rPr>
        <sz val="12"/>
        <rFont val="新細明體"/>
        <family val="1"/>
        <charset val="136"/>
      </rPr>
      <t>華新科</t>
    </r>
  </si>
  <si>
    <r>
      <t>RES/WR06X1001FTL/1K/0603/75V/1%/1/10W/</t>
    </r>
    <r>
      <rPr>
        <sz val="12"/>
        <rFont val="新細明體"/>
        <family val="1"/>
        <charset val="136"/>
      </rPr>
      <t>華新科</t>
    </r>
  </si>
  <si>
    <r>
      <t>RES/WR06X105JTL/1M/0603/75V/5%/1/10W/</t>
    </r>
    <r>
      <rPr>
        <sz val="12"/>
        <rFont val="新細明體"/>
        <family val="1"/>
        <charset val="136"/>
      </rPr>
      <t>華新科</t>
    </r>
  </si>
  <si>
    <r>
      <t>RES/WR06X222JTL/2.2K/0603/75V/5%/1/10W/</t>
    </r>
    <r>
      <rPr>
        <sz val="12"/>
        <rFont val="新細明體"/>
        <family val="1"/>
        <charset val="136"/>
      </rPr>
      <t>華新科</t>
    </r>
  </si>
  <si>
    <r>
      <t>RES/WR06X2003FTL/200K/0603/75V/1%/1/10W/</t>
    </r>
    <r>
      <rPr>
        <sz val="12"/>
        <rFont val="新細明體"/>
        <family val="1"/>
        <charset val="136"/>
      </rPr>
      <t>華新科</t>
    </r>
  </si>
  <si>
    <r>
      <t>RES/WR06X2002FTL/20K/0603/75V/1%/1/10W/</t>
    </r>
    <r>
      <rPr>
        <sz val="12"/>
        <rFont val="新細明體"/>
        <family val="1"/>
        <charset val="136"/>
      </rPr>
      <t>華新科</t>
    </r>
  </si>
  <si>
    <r>
      <t>RES/WR06X2212FTL/22.1K/0603/75V/1%/1/10W/</t>
    </r>
    <r>
      <rPr>
        <sz val="12"/>
        <rFont val="新細明體"/>
        <family val="1"/>
        <charset val="136"/>
      </rPr>
      <t>華新科</t>
    </r>
  </si>
  <si>
    <r>
      <t>RES/WR06X2203FTL/220K/0603/75V/1%/1/10W/</t>
    </r>
    <r>
      <rPr>
        <sz val="12"/>
        <rFont val="新細明體"/>
        <family val="1"/>
        <charset val="136"/>
      </rPr>
      <t>華新科</t>
    </r>
  </si>
  <si>
    <r>
      <t>RES/WR06X3300FTL/330R/0603/75V/1%/1/10W/</t>
    </r>
    <r>
      <rPr>
        <sz val="12"/>
        <rFont val="新細明體"/>
        <family val="1"/>
        <charset val="136"/>
      </rPr>
      <t>華新科</t>
    </r>
  </si>
  <si>
    <r>
      <t>RES/WR06X4701FTL/4.7K/0603/75V/1%/1/10W/</t>
    </r>
    <r>
      <rPr>
        <sz val="12"/>
        <rFont val="新細明體"/>
        <family val="1"/>
        <charset val="136"/>
      </rPr>
      <t>華新科</t>
    </r>
  </si>
  <si>
    <r>
      <t>RES/WR06X4703FTL/470K/0603/75V/1%/1/10W/</t>
    </r>
    <r>
      <rPr>
        <sz val="12"/>
        <rFont val="新細明體"/>
        <family val="1"/>
        <charset val="136"/>
      </rPr>
      <t>華新科</t>
    </r>
  </si>
  <si>
    <r>
      <t>RES/WR06X514JTL/510K/0603/75V/5%/1/10W/</t>
    </r>
    <r>
      <rPr>
        <sz val="12"/>
        <rFont val="新細明體"/>
        <family val="1"/>
        <charset val="136"/>
      </rPr>
      <t>華新科</t>
    </r>
  </si>
  <si>
    <r>
      <t>RES/WR06X5100FTL/510R/0603/75V/1%/1/10W/</t>
    </r>
    <r>
      <rPr>
        <sz val="12"/>
        <rFont val="新細明體"/>
        <family val="1"/>
        <charset val="136"/>
      </rPr>
      <t>華新科</t>
    </r>
  </si>
  <si>
    <r>
      <t>RES/WR06X6803FTL/680K/0603/75V/1%/1/10W/</t>
    </r>
    <r>
      <rPr>
        <sz val="12"/>
        <rFont val="新細明體"/>
        <family val="1"/>
        <charset val="136"/>
      </rPr>
      <t>華新科</t>
    </r>
  </si>
  <si>
    <r>
      <t>RES/WR06X8872FTL/88.7K/0603/75V/1%/1/10W/</t>
    </r>
    <r>
      <rPr>
        <sz val="12"/>
        <rFont val="新細明體"/>
        <family val="1"/>
        <charset val="136"/>
      </rPr>
      <t>華新科</t>
    </r>
  </si>
  <si>
    <r>
      <t>RES/WR06X1000FTL/100R/0603/75V/1%/1/10W/</t>
    </r>
    <r>
      <rPr>
        <sz val="12"/>
        <rFont val="新細明體"/>
        <family val="1"/>
        <charset val="136"/>
      </rPr>
      <t>華新科</t>
    </r>
  </si>
  <si>
    <r>
      <t>RES/WR06X2053FTL/205K/0603/75V/1%/1/10W/</t>
    </r>
    <r>
      <rPr>
        <sz val="12"/>
        <rFont val="新細明體"/>
        <family val="1"/>
        <charset val="136"/>
      </rPr>
      <t>華新科</t>
    </r>
  </si>
  <si>
    <r>
      <t>RES/WR06X8201FTL/8.2K/0603/75V/1%/1/10W/</t>
    </r>
    <r>
      <rPr>
        <sz val="12"/>
        <rFont val="新細明體"/>
        <family val="1"/>
        <charset val="136"/>
      </rPr>
      <t>華新科</t>
    </r>
  </si>
  <si>
    <r>
      <t>RES/WR06X1R0JTL/1R/0603/75V/5%/1/10W/</t>
    </r>
    <r>
      <rPr>
        <sz val="12"/>
        <rFont val="新細明體"/>
        <family val="1"/>
        <charset val="136"/>
      </rPr>
      <t>華新科</t>
    </r>
  </si>
  <si>
    <r>
      <t>RES/WR06X103JTL/10K/0603/75V/5%/1/10W/</t>
    </r>
    <r>
      <rPr>
        <sz val="12"/>
        <rFont val="新細明體"/>
        <family val="1"/>
        <charset val="136"/>
      </rPr>
      <t>華新科</t>
    </r>
  </si>
  <si>
    <r>
      <t>RES/WR06X4993FTL/499K/0603/75V/1%/1/10W/</t>
    </r>
    <r>
      <rPr>
        <sz val="12"/>
        <rFont val="新細明體"/>
        <family val="1"/>
        <charset val="136"/>
      </rPr>
      <t>華新科</t>
    </r>
  </si>
  <si>
    <r>
      <t>RES/WR06X4R7JTL/4.7R/0603/75V/5%/1/10W/</t>
    </r>
    <r>
      <rPr>
        <sz val="12"/>
        <rFont val="新細明體"/>
        <family val="1"/>
        <charset val="136"/>
      </rPr>
      <t>華新科</t>
    </r>
  </si>
  <si>
    <r>
      <t>RES/WR06X1273FTL/127K/0603/75V/1%/1/10W/</t>
    </r>
    <r>
      <rPr>
        <sz val="12"/>
        <rFont val="新細明體"/>
        <family val="1"/>
        <charset val="136"/>
      </rPr>
      <t>華新科</t>
    </r>
  </si>
  <si>
    <r>
      <t>RES/WR06X2000FTL/200R/0603/75V/1%/1/10W/</t>
    </r>
    <r>
      <rPr>
        <sz val="12"/>
        <rFont val="新細明體"/>
        <family val="1"/>
        <charset val="136"/>
      </rPr>
      <t>華新科</t>
    </r>
  </si>
  <si>
    <r>
      <t>RES/WR06X4702FTL/47K/0603/75V/1%/1/10W/</t>
    </r>
    <r>
      <rPr>
        <sz val="12"/>
        <rFont val="新細明體"/>
        <family val="1"/>
        <charset val="136"/>
      </rPr>
      <t>華新科</t>
    </r>
  </si>
  <si>
    <r>
      <t>RES/WR06X393JTL/39K/0603/75V/5%/1/10W/</t>
    </r>
    <r>
      <rPr>
        <sz val="12"/>
        <rFont val="新細明體"/>
        <family val="1"/>
        <charset val="136"/>
      </rPr>
      <t>華新科</t>
    </r>
  </si>
  <si>
    <r>
      <t>RES/WR06X304JTL/300K/0603/75V/5%/1/10W/</t>
    </r>
    <r>
      <rPr>
        <sz val="12"/>
        <rFont val="新細明體"/>
        <family val="1"/>
        <charset val="136"/>
      </rPr>
      <t>華新科</t>
    </r>
  </si>
  <si>
    <r>
      <t>RES/WR06X4992FTL/49.9K/0603/75V/1%/1/10W/</t>
    </r>
    <r>
      <rPr>
        <sz val="12"/>
        <rFont val="新細明體"/>
        <family val="1"/>
        <charset val="136"/>
      </rPr>
      <t>華新科</t>
    </r>
  </si>
  <si>
    <r>
      <t>RES/WR06X100JTL/10R/0603/75V/5%/1/10W/</t>
    </r>
    <r>
      <rPr>
        <sz val="12"/>
        <rFont val="新細明體"/>
        <family val="1"/>
        <charset val="136"/>
      </rPr>
      <t>華新科</t>
    </r>
  </si>
  <si>
    <r>
      <t>RES/WR06X1402FTL/14K/0603/75V/1%/1/10W/</t>
    </r>
    <r>
      <rPr>
        <sz val="12"/>
        <rFont val="新細明體"/>
        <family val="1"/>
        <charset val="136"/>
      </rPr>
      <t>華新科</t>
    </r>
  </si>
  <si>
    <r>
      <t>RES/WR06X682JTL/6.8K/0603/75V/5%/1/10W/</t>
    </r>
    <r>
      <rPr>
        <sz val="12"/>
        <rFont val="新細明體"/>
        <family val="1"/>
        <charset val="136"/>
      </rPr>
      <t>華新科</t>
    </r>
  </si>
  <si>
    <r>
      <t>RES/WR06X2373FTL/237K/0603/75V/1%/1/10W/</t>
    </r>
    <r>
      <rPr>
        <sz val="12"/>
        <rFont val="新細明體"/>
        <family val="1"/>
        <charset val="136"/>
      </rPr>
      <t>華新科</t>
    </r>
  </si>
  <si>
    <r>
      <t>RES/WR06X4533FTL/453K/0603/75V/1%/1/10W/</t>
    </r>
    <r>
      <rPr>
        <sz val="12"/>
        <rFont val="新細明體"/>
        <family val="1"/>
        <charset val="136"/>
      </rPr>
      <t>華新科</t>
    </r>
  </si>
  <si>
    <r>
      <t>RES/WR06X2R20FTL/2.2R/0603/75V/1%/1/10W/</t>
    </r>
    <r>
      <rPr>
        <sz val="12"/>
        <rFont val="新細明體"/>
        <family val="1"/>
        <charset val="136"/>
      </rPr>
      <t>華新科</t>
    </r>
  </si>
  <si>
    <r>
      <t>RES/WF06H3303BTL/330K/0603/75V/0.1%/1/10W/</t>
    </r>
    <r>
      <rPr>
        <sz val="12"/>
        <rFont val="新細明體"/>
        <family val="1"/>
        <charset val="136"/>
      </rPr>
      <t>華新科</t>
    </r>
  </si>
  <si>
    <r>
      <t>RES/WR06X102JTL/1K/0603/75V/5%/1/10W/</t>
    </r>
    <r>
      <rPr>
        <sz val="12"/>
        <rFont val="新細明體"/>
        <family val="1"/>
        <charset val="136"/>
      </rPr>
      <t>華新科</t>
    </r>
  </si>
  <si>
    <r>
      <t>RES/WR06X2200FTL/220R/0603/75V/1%/1/10W/</t>
    </r>
    <r>
      <rPr>
        <sz val="12"/>
        <rFont val="新細明體"/>
        <family val="1"/>
        <charset val="136"/>
      </rPr>
      <t>華新科</t>
    </r>
  </si>
  <si>
    <r>
      <t>RES/WR06X510JTL/51R/0603/75V/5%/1/10W/</t>
    </r>
    <r>
      <rPr>
        <sz val="12"/>
        <rFont val="新細明體"/>
        <family val="1"/>
        <charset val="136"/>
      </rPr>
      <t>華新科</t>
    </r>
  </si>
  <si>
    <r>
      <t>RES/WR06X4700FTL/470R/0603/75V/1%/1/10W/</t>
    </r>
    <r>
      <rPr>
        <sz val="12"/>
        <rFont val="新細明體"/>
        <family val="1"/>
        <charset val="136"/>
      </rPr>
      <t>華新科</t>
    </r>
  </si>
  <si>
    <r>
      <t>RES/WR06X2001FTL/2K/0603/75V/1%/1/10W/</t>
    </r>
    <r>
      <rPr>
        <sz val="12"/>
        <rFont val="新細明體"/>
        <family val="1"/>
        <charset val="136"/>
      </rPr>
      <t>華新科</t>
    </r>
  </si>
  <si>
    <r>
      <t>RES/WR06X5102FTL/51K/0603/75V/1%/1/10W/</t>
    </r>
    <r>
      <rPr>
        <sz val="12"/>
        <rFont val="新細明體"/>
        <family val="1"/>
        <charset val="136"/>
      </rPr>
      <t>華新科</t>
    </r>
  </si>
  <si>
    <r>
      <t>RES/WR06X6493FTL/649K/0603/75V/1%/1/10W/</t>
    </r>
    <r>
      <rPr>
        <sz val="12"/>
        <rFont val="新細明體"/>
        <family val="1"/>
        <charset val="136"/>
      </rPr>
      <t>華新科</t>
    </r>
  </si>
  <si>
    <r>
      <t>RES/WR06W1005FTL/10M/0603/75V/1%/1/10W/</t>
    </r>
    <r>
      <rPr>
        <sz val="12"/>
        <rFont val="新細明體"/>
        <family val="1"/>
        <charset val="136"/>
      </rPr>
      <t>華新科</t>
    </r>
  </si>
  <si>
    <r>
      <t>RES/WR06W2004FTL/2M/0603/75V/1%/1/10W/</t>
    </r>
    <r>
      <rPr>
        <sz val="12"/>
        <rFont val="新細明體"/>
        <family val="1"/>
        <charset val="136"/>
      </rPr>
      <t>華新科</t>
    </r>
  </si>
  <si>
    <r>
      <t>RES/WR06X1302FTL/13K/0603/75V/1%/1/10W/</t>
    </r>
    <r>
      <rPr>
        <sz val="12"/>
        <rFont val="新細明體"/>
        <family val="1"/>
        <charset val="136"/>
      </rPr>
      <t>華新科</t>
    </r>
  </si>
  <si>
    <r>
      <t>RES/WR06X3900FTL/390R/0603/75V/1%/1/10W/</t>
    </r>
    <r>
      <rPr>
        <sz val="12"/>
        <rFont val="新細明體"/>
        <family val="1"/>
        <charset val="136"/>
      </rPr>
      <t>華新科</t>
    </r>
  </si>
  <si>
    <r>
      <t>RES/WR06X5601FTL/5.6K/0603/75V/1%/1/10W/</t>
    </r>
    <r>
      <rPr>
        <sz val="12"/>
        <rFont val="新細明體"/>
        <family val="1"/>
        <charset val="136"/>
      </rPr>
      <t>華新科</t>
    </r>
  </si>
  <si>
    <r>
      <t>RES/WR06X1102FTL/11K/0603/75V/1%/1/10W/</t>
    </r>
    <r>
      <rPr>
        <sz val="12"/>
        <rFont val="新細明體"/>
        <family val="1"/>
        <charset val="136"/>
      </rPr>
      <t>華新科</t>
    </r>
  </si>
  <si>
    <r>
      <t>RES/WR06X333JTL/33K/0603/75V/5%/1/10W/</t>
    </r>
    <r>
      <rPr>
        <sz val="12"/>
        <rFont val="新細明體"/>
        <family val="1"/>
        <charset val="136"/>
      </rPr>
      <t>華新科</t>
    </r>
  </si>
  <si>
    <r>
      <t>RES/WR06X1502FTL/15K/0603/75V/1%/1/10W/</t>
    </r>
    <r>
      <rPr>
        <sz val="12"/>
        <rFont val="新細明體"/>
        <family val="1"/>
        <charset val="136"/>
      </rPr>
      <t>華新科</t>
    </r>
  </si>
  <si>
    <r>
      <t>RES/WR06X3093FTL/309K/0603/75V/1%/1/10W/</t>
    </r>
    <r>
      <rPr>
        <sz val="12"/>
        <rFont val="新細明體"/>
        <family val="1"/>
        <charset val="136"/>
      </rPr>
      <t>華新科</t>
    </r>
  </si>
  <si>
    <r>
      <t>RES/WR06X3742FTL/37.4K/0603/75V/1%/1/10W/</t>
    </r>
    <r>
      <rPr>
        <sz val="12"/>
        <rFont val="新細明體"/>
        <family val="1"/>
        <charset val="136"/>
      </rPr>
      <t>華新科</t>
    </r>
  </si>
  <si>
    <r>
      <t>RES/WR06X47R0FTL/47R/0603/75V/1%/1/10W/</t>
    </r>
    <r>
      <rPr>
        <sz val="12"/>
        <rFont val="新細明體"/>
        <family val="1"/>
        <charset val="136"/>
      </rPr>
      <t>華新科</t>
    </r>
  </si>
  <si>
    <r>
      <t>RES/WR06X1002FTL/10K/0603/75V/1%/1/10W/</t>
    </r>
    <r>
      <rPr>
        <sz val="12"/>
        <rFont val="新細明體"/>
        <family val="1"/>
        <charset val="136"/>
      </rPr>
      <t>華新科</t>
    </r>
  </si>
  <si>
    <r>
      <t>RES/WR06X1004FTL/1M/0603/75V/1%/1/10W/</t>
    </r>
    <r>
      <rPr>
        <sz val="12"/>
        <rFont val="新細明體"/>
        <family val="1"/>
        <charset val="136"/>
      </rPr>
      <t>華新科</t>
    </r>
  </si>
  <si>
    <r>
      <t>RES/WR06X101JTL/100R/0603/75V/5%/1/10W/</t>
    </r>
    <r>
      <rPr>
        <sz val="12"/>
        <rFont val="新細明體"/>
        <family val="1"/>
        <charset val="136"/>
      </rPr>
      <t>華新科</t>
    </r>
  </si>
  <si>
    <r>
      <t>RES/WR06X104JTL/100K/0603/75V/5%/1/10W/</t>
    </r>
    <r>
      <rPr>
        <sz val="12"/>
        <rFont val="新細明體"/>
        <family val="1"/>
        <charset val="136"/>
      </rPr>
      <t>華新科</t>
    </r>
  </si>
  <si>
    <r>
      <t>RES/WR06X472JTL/4.7K/0603/75V/5%/1/10W/</t>
    </r>
    <r>
      <rPr>
        <sz val="12"/>
        <rFont val="新細明體"/>
        <family val="1"/>
        <charset val="136"/>
      </rPr>
      <t>華新科</t>
    </r>
  </si>
  <si>
    <r>
      <t>RES/WR06X154JTL/150K/0603/75V/5%/1/10W/</t>
    </r>
    <r>
      <rPr>
        <sz val="12"/>
        <rFont val="新細明體"/>
        <family val="1"/>
        <charset val="136"/>
      </rPr>
      <t>華新科</t>
    </r>
  </si>
  <si>
    <r>
      <t>RES/WR06X394JTL/390K/0603/75V/5%/1/10W/</t>
    </r>
    <r>
      <rPr>
        <sz val="12"/>
        <rFont val="新細明體"/>
        <family val="1"/>
        <charset val="136"/>
      </rPr>
      <t>華新科</t>
    </r>
  </si>
  <si>
    <r>
      <t>RES/WR06X5101FTL/5.1K/0603/75V/1%/1/10W/</t>
    </r>
    <r>
      <rPr>
        <sz val="12"/>
        <rFont val="新細明體"/>
        <family val="1"/>
        <charset val="136"/>
      </rPr>
      <t>華新科</t>
    </r>
  </si>
  <si>
    <r>
      <t>RES/WR06X3322FTL/33.2K/0603/75V/1%/1/10W/</t>
    </r>
    <r>
      <rPr>
        <sz val="12"/>
        <rFont val="新細明體"/>
        <family val="1"/>
        <charset val="136"/>
      </rPr>
      <t>華新科</t>
    </r>
  </si>
  <si>
    <r>
      <t>RES/WR06X7152FTL/71.5K/0603/75V/1%/1/10W/</t>
    </r>
    <r>
      <rPr>
        <sz val="12"/>
        <rFont val="新細明體"/>
        <family val="1"/>
        <charset val="136"/>
      </rPr>
      <t>華新科</t>
    </r>
  </si>
  <si>
    <r>
      <t>RES/FPF03FT-2803/280K/0603/50V/1%/1/8W/</t>
    </r>
    <r>
      <rPr>
        <sz val="12"/>
        <rFont val="新細明體"/>
        <family val="1"/>
        <charset val="136"/>
      </rPr>
      <t>信昌</t>
    </r>
  </si>
  <si>
    <r>
      <t>RES/WR06X155JTL/1.5M/0603/75V/5%/1/10W/</t>
    </r>
    <r>
      <rPr>
        <sz val="12"/>
        <rFont val="新細明體"/>
        <family val="1"/>
        <charset val="136"/>
      </rPr>
      <t>華新科</t>
    </r>
  </si>
  <si>
    <r>
      <t>RES/WR06W5104FTL/5.1M/0603/75V/1%/1/10W/</t>
    </r>
    <r>
      <rPr>
        <sz val="12"/>
        <rFont val="新細明體"/>
        <family val="1"/>
        <charset val="136"/>
      </rPr>
      <t>華新科</t>
    </r>
  </si>
  <si>
    <r>
      <t>RES/WR06X1503FTL/150K/0603/75V/1%/1/10W/</t>
    </r>
    <r>
      <rPr>
        <sz val="12"/>
        <rFont val="新細明體"/>
        <family val="1"/>
        <charset val="136"/>
      </rPr>
      <t>華新科</t>
    </r>
  </si>
  <si>
    <r>
      <t>RES/WR06X5902FTL/59K/0603/75V/1%/1/10W/</t>
    </r>
    <r>
      <rPr>
        <sz val="12"/>
        <rFont val="新細明體"/>
        <family val="1"/>
        <charset val="136"/>
      </rPr>
      <t>華新科</t>
    </r>
  </si>
  <si>
    <r>
      <t>RES/WR06X6802FTL/68K/0603/75V/1%/1/10W/</t>
    </r>
    <r>
      <rPr>
        <sz val="12"/>
        <rFont val="新細明體"/>
        <family val="1"/>
        <charset val="136"/>
      </rPr>
      <t>華新科</t>
    </r>
  </si>
  <si>
    <r>
      <t>RES/WR06X2372FTL/23.7K/0603/75V/1%/1/10W/</t>
    </r>
    <r>
      <rPr>
        <sz val="12"/>
        <rFont val="新細明體"/>
        <family val="1"/>
        <charset val="136"/>
      </rPr>
      <t>華新科</t>
    </r>
  </si>
  <si>
    <r>
      <t>RES/WR06X5602FTL/56K/0603/75V/1%/1/10W/</t>
    </r>
    <r>
      <rPr>
        <sz val="12"/>
        <rFont val="新細明體"/>
        <family val="1"/>
        <charset val="136"/>
      </rPr>
      <t>華新科</t>
    </r>
  </si>
  <si>
    <r>
      <t>RES/WR06X1802FTL/18K/0603/75V/1%/1/10W/</t>
    </r>
    <r>
      <rPr>
        <sz val="12"/>
        <rFont val="新細明體"/>
        <family val="1"/>
        <charset val="136"/>
      </rPr>
      <t>華新科</t>
    </r>
  </si>
  <si>
    <r>
      <t>RES/WR06X2552FTL/25.5k/0603/75V/1%/1/10W/</t>
    </r>
    <r>
      <rPr>
        <sz val="12"/>
        <rFont val="新細明體"/>
        <family val="1"/>
        <charset val="136"/>
      </rPr>
      <t>華新科</t>
    </r>
  </si>
  <si>
    <r>
      <t>RES/WR06X68R0FTL/68R/0603/75V/1%/1/10W/</t>
    </r>
    <r>
      <rPr>
        <sz val="12"/>
        <rFont val="新細明體"/>
        <family val="1"/>
        <charset val="136"/>
      </rPr>
      <t>華新科</t>
    </r>
  </si>
  <si>
    <r>
      <t>RES/WR06X1433FTL/143K/0603/75V/1%/1/10W/</t>
    </r>
    <r>
      <rPr>
        <sz val="12"/>
        <rFont val="新細明體"/>
        <family val="1"/>
        <charset val="136"/>
      </rPr>
      <t>華新科</t>
    </r>
  </si>
  <si>
    <r>
      <t>RES/WR06X1301FTL/1.3K/0603/75V/1%/1/10W/</t>
    </r>
    <r>
      <rPr>
        <sz val="12"/>
        <rFont val="新細明體"/>
        <family val="1"/>
        <charset val="136"/>
      </rPr>
      <t>華新科</t>
    </r>
  </si>
  <si>
    <r>
      <t>RES/WR08X000PTL/0R/0805/150V/5%/1/8W/</t>
    </r>
    <r>
      <rPr>
        <sz val="12"/>
        <rFont val="新細明體"/>
        <family val="1"/>
        <charset val="136"/>
      </rPr>
      <t>華新科</t>
    </r>
  </si>
  <si>
    <r>
      <t>RES/WR08X1000FTL/100R/0805/150V/1%/1/8W/</t>
    </r>
    <r>
      <rPr>
        <sz val="12"/>
        <rFont val="新細明體"/>
        <family val="1"/>
        <charset val="136"/>
      </rPr>
      <t>華新科</t>
    </r>
  </si>
  <si>
    <r>
      <t>RES/WR08X1500FTL/150R/0805/150V/1%/1/8W/</t>
    </r>
    <r>
      <rPr>
        <sz val="12"/>
        <rFont val="新細明體"/>
        <family val="1"/>
        <charset val="136"/>
      </rPr>
      <t>華新科</t>
    </r>
  </si>
  <si>
    <r>
      <t>RES/WR08X4703FTL/470K/0805/150V/1%/1/8W/</t>
    </r>
    <r>
      <rPr>
        <sz val="12"/>
        <rFont val="新細明體"/>
        <family val="1"/>
        <charset val="136"/>
      </rPr>
      <t>華新科</t>
    </r>
  </si>
  <si>
    <r>
      <t>RES/WR08X512JTL/5.1K/0805/150V/1%/1/8W/</t>
    </r>
    <r>
      <rPr>
        <sz val="12"/>
        <rFont val="新細明體"/>
        <family val="1"/>
        <charset val="136"/>
      </rPr>
      <t>華新科</t>
    </r>
  </si>
  <si>
    <r>
      <t>RES/WR08X5102FTL/51K/0805/150V/1%/1/8W/</t>
    </r>
    <r>
      <rPr>
        <sz val="12"/>
        <rFont val="新細明體"/>
        <family val="1"/>
        <charset val="136"/>
      </rPr>
      <t>華新科</t>
    </r>
  </si>
  <si>
    <r>
      <t>RES/WR08X2002FTL/20K/0805/150V/1%/1/8W/</t>
    </r>
    <r>
      <rPr>
        <sz val="12"/>
        <rFont val="新細明體"/>
        <family val="1"/>
        <charset val="136"/>
      </rPr>
      <t>華新科</t>
    </r>
  </si>
  <si>
    <r>
      <t>RES/WR08X2552FTL/25.5K/0805/150V/1%/1/8W/</t>
    </r>
    <r>
      <rPr>
        <sz val="12"/>
        <rFont val="新細明體"/>
        <family val="1"/>
        <charset val="136"/>
      </rPr>
      <t>華新科</t>
    </r>
  </si>
  <si>
    <r>
      <t>RES/WR08X1001FTL/1K/0805/150V/1%/1/8W/</t>
    </r>
    <r>
      <rPr>
        <sz val="12"/>
        <rFont val="新細明體"/>
        <family val="1"/>
        <charset val="136"/>
      </rPr>
      <t>華新科</t>
    </r>
  </si>
  <si>
    <r>
      <t>RES/WR08X1002FTL/10K/0805/150V/1%/1/8W/</t>
    </r>
    <r>
      <rPr>
        <sz val="12"/>
        <rFont val="新細明體"/>
        <family val="1"/>
        <charset val="136"/>
      </rPr>
      <t>華新科</t>
    </r>
  </si>
  <si>
    <r>
      <t>RES/WR08X1004FTL/1M/0805/150V/1%/1/8W/</t>
    </r>
    <r>
      <rPr>
        <sz val="12"/>
        <rFont val="新細明體"/>
        <family val="1"/>
        <charset val="136"/>
      </rPr>
      <t>華新科</t>
    </r>
  </si>
  <si>
    <r>
      <t>RES/WR08X1003FTL/100K/0805/150V/1%/1/8W/</t>
    </r>
    <r>
      <rPr>
        <sz val="12"/>
        <rFont val="新細明體"/>
        <family val="1"/>
        <charset val="136"/>
      </rPr>
      <t>華新科</t>
    </r>
  </si>
  <si>
    <r>
      <t>RES/WR08X2492FTL/24.9K/0805/150V/1%/1/8W/</t>
    </r>
    <r>
      <rPr>
        <sz val="12"/>
        <rFont val="新細明體"/>
        <family val="1"/>
        <charset val="136"/>
      </rPr>
      <t>華新科</t>
    </r>
  </si>
  <si>
    <r>
      <t>RES/FPF05FT-3002/30K/0805/150V/1%/1/4W/</t>
    </r>
    <r>
      <rPr>
        <sz val="12"/>
        <rFont val="新細明體"/>
        <family val="1"/>
        <charset val="136"/>
      </rPr>
      <t>信昌</t>
    </r>
  </si>
  <si>
    <r>
      <t>RES/FPF05FT-5100/510R/0805/150V/1%/1/4W/</t>
    </r>
    <r>
      <rPr>
        <sz val="12"/>
        <rFont val="新細明體"/>
        <family val="1"/>
        <charset val="136"/>
      </rPr>
      <t>信昌</t>
    </r>
  </si>
  <si>
    <r>
      <t>RES/FPF25FP-1001/1K/2512/300V/1%/2W/</t>
    </r>
    <r>
      <rPr>
        <sz val="12"/>
        <rFont val="新細明體"/>
        <family val="1"/>
        <charset val="136"/>
      </rPr>
      <t>信昌</t>
    </r>
    <phoneticPr fontId="3" type="noConversion"/>
  </si>
  <si>
    <r>
      <t>RES/WR20X39R0FTL/39R/2010/200V/1%/1/4W</t>
    </r>
    <r>
      <rPr>
        <sz val="12"/>
        <rFont val="新細明體"/>
        <family val="1"/>
        <charset val="136"/>
      </rPr>
      <t>以上</t>
    </r>
    <r>
      <rPr>
        <sz val="12"/>
        <rFont val="Calibri"/>
        <family val="2"/>
      </rPr>
      <t>/</t>
    </r>
    <r>
      <rPr>
        <sz val="12"/>
        <rFont val="新細明體"/>
        <family val="1"/>
        <charset val="136"/>
      </rPr>
      <t>華新科</t>
    </r>
  </si>
  <si>
    <r>
      <t>RES/FPF25FP-3300/330R/2512/300V/1%/2W/</t>
    </r>
    <r>
      <rPr>
        <sz val="12"/>
        <rFont val="新細明體"/>
        <family val="1"/>
        <charset val="136"/>
      </rPr>
      <t>信昌</t>
    </r>
  </si>
  <si>
    <r>
      <t>RES/WR12X204JTL/200K/1206/200V/5%/1/4W</t>
    </r>
    <r>
      <rPr>
        <sz val="12"/>
        <rFont val="新細明體"/>
        <family val="1"/>
        <charset val="136"/>
      </rPr>
      <t>以上</t>
    </r>
    <r>
      <rPr>
        <sz val="12"/>
        <rFont val="Calibri"/>
        <family val="2"/>
      </rPr>
      <t>/</t>
    </r>
    <r>
      <rPr>
        <sz val="12"/>
        <rFont val="新細明體"/>
        <family val="1"/>
        <charset val="136"/>
      </rPr>
      <t>華新科</t>
    </r>
  </si>
  <si>
    <r>
      <t>RES/WR10X3301FTL/3.3K/1210/200V/1%/1/3W</t>
    </r>
    <r>
      <rPr>
        <sz val="12"/>
        <rFont val="新細明體"/>
        <family val="1"/>
        <charset val="136"/>
      </rPr>
      <t>以上</t>
    </r>
    <r>
      <rPr>
        <sz val="12"/>
        <rFont val="Calibri"/>
        <family val="2"/>
      </rPr>
      <t>/</t>
    </r>
    <r>
      <rPr>
        <sz val="12"/>
        <rFont val="新細明體"/>
        <family val="1"/>
        <charset val="136"/>
      </rPr>
      <t>華新科</t>
    </r>
  </si>
  <si>
    <r>
      <t>RES/WR25X6R8JTL/6.8R/2512/200V/5%/1W/</t>
    </r>
    <r>
      <rPr>
        <sz val="12"/>
        <rFont val="新細明體"/>
        <family val="1"/>
        <charset val="136"/>
      </rPr>
      <t>華新科</t>
    </r>
  </si>
  <si>
    <r>
      <t>RES/FMF25FPJR010-LH/10mR/2512/200V/1%/2W/</t>
    </r>
    <r>
      <rPr>
        <sz val="12"/>
        <rFont val="新細明體"/>
        <family val="1"/>
        <charset val="136"/>
      </rPr>
      <t>信昌</t>
    </r>
  </si>
  <si>
    <r>
      <t>RES/FBF25FP-R033/33mR/2512/200V/1%/1W/</t>
    </r>
    <r>
      <rPr>
        <sz val="12"/>
        <rFont val="新細明體"/>
        <family val="1"/>
        <charset val="136"/>
      </rPr>
      <t>信昌</t>
    </r>
  </si>
  <si>
    <r>
      <t>RES//20R/1210/200V/1%/3W/</t>
    </r>
    <r>
      <rPr>
        <sz val="12"/>
        <rFont val="新細明體"/>
        <family val="1"/>
        <charset val="136"/>
      </rPr>
      <t>華新科</t>
    </r>
  </si>
  <si>
    <r>
      <t>RES/TC33X-2-502E/5K/25%/1/10 W/</t>
    </r>
    <r>
      <rPr>
        <sz val="12"/>
        <rFont val="新細明體"/>
        <family val="1"/>
        <charset val="136"/>
      </rPr>
      <t>矩型</t>
    </r>
    <r>
      <rPr>
        <sz val="12"/>
        <rFont val="Calibri"/>
        <family val="2"/>
      </rPr>
      <t>3.8*3.6*1.2mm</t>
    </r>
    <r>
      <rPr>
        <sz val="12"/>
        <rFont val="新細明體"/>
        <family val="1"/>
        <charset val="136"/>
      </rPr>
      <t>力德</t>
    </r>
  </si>
  <si>
    <r>
      <t>NTC/ESTA4103F3435F-3002521SC/B3435/0603/10K/200 mW/</t>
    </r>
    <r>
      <rPr>
        <sz val="12"/>
        <rFont val="新細明體"/>
        <family val="1"/>
        <charset val="136"/>
      </rPr>
      <t>唯勝</t>
    </r>
  </si>
  <si>
    <r>
      <t>NTC/EWTF03-103F3I-N/B3435/0603/10K/350 mW/</t>
    </r>
    <r>
      <rPr>
        <sz val="12"/>
        <rFont val="新細明體"/>
        <family val="1"/>
        <charset val="136"/>
      </rPr>
      <t>唯勝</t>
    </r>
  </si>
  <si>
    <r>
      <t>R-Sense/MCSS3920/3920/7W/0.5mOhm/1%/</t>
    </r>
    <r>
      <rPr>
        <sz val="12"/>
        <rFont val="新細明體"/>
        <family val="1"/>
        <charset val="136"/>
      </rPr>
      <t>璦司柏</t>
    </r>
  </si>
  <si>
    <r>
      <t>R-Sense/FMF25FPJR001XBH/2512/2W/1mOhm/1%/4*7.3mm</t>
    </r>
    <r>
      <rPr>
        <sz val="12"/>
        <rFont val="新細明體"/>
        <family val="1"/>
        <charset val="136"/>
      </rPr>
      <t>信昌</t>
    </r>
  </si>
  <si>
    <r>
      <t>RLM25FEER005/2512/2W/5mOhm/1%/</t>
    </r>
    <r>
      <rPr>
        <sz val="12"/>
        <rFont val="新細明體"/>
        <family val="1"/>
        <charset val="136"/>
      </rPr>
      <t>大毅</t>
    </r>
  </si>
  <si>
    <r>
      <t>R-Sense/FMF25FPJR002XBH/2mOhm/2512/1%/2W/</t>
    </r>
    <r>
      <rPr>
        <sz val="12"/>
        <rFont val="新細明體"/>
        <family val="1"/>
        <charset val="136"/>
      </rPr>
      <t>信昌</t>
    </r>
  </si>
  <si>
    <r>
      <t>Cap/0.01uF/0603/50V/10%/</t>
    </r>
    <r>
      <rPr>
        <sz val="12"/>
        <rFont val="新細明體"/>
        <family val="1"/>
        <charset val="136"/>
      </rPr>
      <t>華新科</t>
    </r>
  </si>
  <si>
    <r>
      <t>Cap/0.1uF/0603/50V/10%/</t>
    </r>
    <r>
      <rPr>
        <sz val="12"/>
        <rFont val="新細明體"/>
        <family val="1"/>
        <charset val="136"/>
      </rPr>
      <t>華新科</t>
    </r>
  </si>
  <si>
    <r>
      <t>Cap/100pF/0603/100V/5%/</t>
    </r>
    <r>
      <rPr>
        <sz val="12"/>
        <rFont val="新細明體"/>
        <family val="1"/>
        <charset val="136"/>
      </rPr>
      <t>華新科</t>
    </r>
  </si>
  <si>
    <r>
      <t>Cap/10uF/0603/10V/10%/</t>
    </r>
    <r>
      <rPr>
        <sz val="12"/>
        <rFont val="新細明體"/>
        <family val="1"/>
        <charset val="136"/>
      </rPr>
      <t>華新科</t>
    </r>
  </si>
  <si>
    <r>
      <t>Cap/10uF/0603/25V/20%/</t>
    </r>
    <r>
      <rPr>
        <sz val="12"/>
        <rFont val="新細明體"/>
        <family val="1"/>
        <charset val="136"/>
      </rPr>
      <t>華新科</t>
    </r>
  </si>
  <si>
    <r>
      <t>Cap/1uF/0603/16V/10%/</t>
    </r>
    <r>
      <rPr>
        <sz val="12"/>
        <rFont val="新細明體"/>
        <family val="1"/>
        <charset val="136"/>
      </rPr>
      <t>力德</t>
    </r>
  </si>
  <si>
    <r>
      <t>Cap/1uF/0603/25V/10%/</t>
    </r>
    <r>
      <rPr>
        <sz val="12"/>
        <rFont val="新細明體"/>
        <family val="1"/>
        <charset val="136"/>
      </rPr>
      <t>華新科</t>
    </r>
  </si>
  <si>
    <r>
      <t>Cap/2.2uF/0603/50V/10%/</t>
    </r>
    <r>
      <rPr>
        <sz val="12"/>
        <rFont val="新細明體"/>
        <family val="1"/>
        <charset val="136"/>
      </rPr>
      <t>華新科</t>
    </r>
  </si>
  <si>
    <r>
      <t>Cap/20pF/0603/50V/5%/</t>
    </r>
    <r>
      <rPr>
        <sz val="12"/>
        <rFont val="新細明體"/>
        <family val="1"/>
        <charset val="136"/>
      </rPr>
      <t>華新科</t>
    </r>
  </si>
  <si>
    <r>
      <t>Cap/30PF/0603/50V/5%/</t>
    </r>
    <r>
      <rPr>
        <sz val="12"/>
        <rFont val="新細明體"/>
        <family val="1"/>
        <charset val="136"/>
      </rPr>
      <t>華新科</t>
    </r>
  </si>
  <si>
    <r>
      <t>Cap/56pF/0603/50V/5%/</t>
    </r>
    <r>
      <rPr>
        <sz val="12"/>
        <rFont val="新細明體"/>
        <family val="1"/>
        <charset val="136"/>
      </rPr>
      <t>力德</t>
    </r>
  </si>
  <si>
    <r>
      <t>Cap/4700pF/0603/50V/10%/</t>
    </r>
    <r>
      <rPr>
        <sz val="12"/>
        <rFont val="新細明體"/>
        <family val="1"/>
        <charset val="136"/>
      </rPr>
      <t>力德</t>
    </r>
  </si>
  <si>
    <r>
      <t>Cap/2200pF/0603/50V/10%/</t>
    </r>
    <r>
      <rPr>
        <sz val="12"/>
        <rFont val="新細明體"/>
        <family val="1"/>
        <charset val="136"/>
      </rPr>
      <t>力德</t>
    </r>
  </si>
  <si>
    <r>
      <t>Cap/470pF/0603/50V/5%/</t>
    </r>
    <r>
      <rPr>
        <sz val="12"/>
        <rFont val="新細明體"/>
        <family val="1"/>
        <charset val="136"/>
      </rPr>
      <t>力德</t>
    </r>
  </si>
  <si>
    <r>
      <t>Cap/220nF/0603/50V/10%/</t>
    </r>
    <r>
      <rPr>
        <sz val="12"/>
        <rFont val="新細明體"/>
        <family val="1"/>
        <charset val="136"/>
      </rPr>
      <t>力德</t>
    </r>
  </si>
  <si>
    <r>
      <t>Cap/47nF/0603/50V/10%/</t>
    </r>
    <r>
      <rPr>
        <sz val="12"/>
        <rFont val="新細明體"/>
        <family val="1"/>
        <charset val="136"/>
      </rPr>
      <t>力德</t>
    </r>
  </si>
  <si>
    <r>
      <t>Cap/220nF/0603/25V/10%/</t>
    </r>
    <r>
      <rPr>
        <sz val="12"/>
        <rFont val="新細明體"/>
        <family val="1"/>
        <charset val="136"/>
      </rPr>
      <t>力德</t>
    </r>
  </si>
  <si>
    <r>
      <t>Cap/22pF/0603/50V/10%/</t>
    </r>
    <r>
      <rPr>
        <sz val="12"/>
        <rFont val="新細明體"/>
        <family val="1"/>
        <charset val="136"/>
      </rPr>
      <t>力德</t>
    </r>
  </si>
  <si>
    <r>
      <t>Cap/4.7uf/0603/25V/10%/</t>
    </r>
    <r>
      <rPr>
        <sz val="12"/>
        <rFont val="新細明體"/>
        <family val="1"/>
        <charset val="136"/>
      </rPr>
      <t>力德</t>
    </r>
  </si>
  <si>
    <r>
      <t>Cap/470pF/0603/100V/5%/</t>
    </r>
    <r>
      <rPr>
        <sz val="12"/>
        <rFont val="新細明體"/>
        <family val="1"/>
        <charset val="136"/>
      </rPr>
      <t>力德</t>
    </r>
  </si>
  <si>
    <r>
      <t>Cap/47pF/0603/50V/1%/</t>
    </r>
    <r>
      <rPr>
        <sz val="12"/>
        <rFont val="新細明體"/>
        <family val="1"/>
        <charset val="136"/>
      </rPr>
      <t>華新科</t>
    </r>
  </si>
  <si>
    <r>
      <t>Cap/150pF/0603/50V/10%/</t>
    </r>
    <r>
      <rPr>
        <sz val="12"/>
        <rFont val="新細明體"/>
        <family val="1"/>
        <charset val="136"/>
      </rPr>
      <t>華新科</t>
    </r>
  </si>
  <si>
    <r>
      <t>Cap/1pF/0603/50V/0.1pF/</t>
    </r>
    <r>
      <rPr>
        <sz val="12"/>
        <rFont val="新細明體"/>
        <family val="1"/>
        <charset val="136"/>
      </rPr>
      <t>華新科</t>
    </r>
  </si>
  <si>
    <r>
      <t>Cap/0603B104K101CT/100nF/0603/100V/10%/</t>
    </r>
    <r>
      <rPr>
        <sz val="12"/>
        <rFont val="新細明體"/>
        <family val="1"/>
        <charset val="136"/>
      </rPr>
      <t>華新科</t>
    </r>
  </si>
  <si>
    <r>
      <t>Cap/0603X105K500CT/1uF/0603/50V/10%/</t>
    </r>
    <r>
      <rPr>
        <sz val="12"/>
        <rFont val="新細明體"/>
        <family val="1"/>
        <charset val="136"/>
      </rPr>
      <t>華新科</t>
    </r>
  </si>
  <si>
    <r>
      <t>Cap/0603B103K500CT/10nF/0603/50V/10%/</t>
    </r>
    <r>
      <rPr>
        <sz val="12"/>
        <rFont val="新細明體"/>
        <family val="1"/>
        <charset val="136"/>
      </rPr>
      <t>華新科</t>
    </r>
  </si>
  <si>
    <r>
      <t>Cap/4.7uf/0805/25V/10%/</t>
    </r>
    <r>
      <rPr>
        <sz val="12"/>
        <rFont val="新細明體"/>
        <family val="1"/>
        <charset val="136"/>
      </rPr>
      <t>力德</t>
    </r>
  </si>
  <si>
    <r>
      <t>Cap/2.2uf/0805/25V/10%/</t>
    </r>
    <r>
      <rPr>
        <sz val="12"/>
        <rFont val="新細明體"/>
        <family val="1"/>
        <charset val="136"/>
      </rPr>
      <t>力德</t>
    </r>
  </si>
  <si>
    <r>
      <t>Cap/10uf/0805/25V/10%/</t>
    </r>
    <r>
      <rPr>
        <sz val="12"/>
        <rFont val="新細明體"/>
        <family val="1"/>
        <charset val="136"/>
      </rPr>
      <t>力德</t>
    </r>
  </si>
  <si>
    <r>
      <t>Cap/0.47uf/0805/25V/10%/</t>
    </r>
    <r>
      <rPr>
        <sz val="12"/>
        <rFont val="新細明體"/>
        <family val="1"/>
        <charset val="136"/>
      </rPr>
      <t>華新科</t>
    </r>
  </si>
  <si>
    <r>
      <t>Cap/0805B225K500CT/2.2uf/0805/50V/10%/</t>
    </r>
    <r>
      <rPr>
        <sz val="12"/>
        <rFont val="新細明體"/>
        <family val="1"/>
        <charset val="136"/>
      </rPr>
      <t>華新科</t>
    </r>
  </si>
  <si>
    <r>
      <t>Cap/CL21A226MAYNNNE/22uF/0805/25V/20%/</t>
    </r>
    <r>
      <rPr>
        <sz val="12"/>
        <rFont val="新細明體"/>
        <family val="1"/>
        <charset val="136"/>
      </rPr>
      <t>三星</t>
    </r>
  </si>
  <si>
    <r>
      <t>Cap/10uF/1206/50V/10%/</t>
    </r>
    <r>
      <rPr>
        <sz val="12"/>
        <rFont val="新細明體"/>
        <family val="1"/>
        <charset val="136"/>
      </rPr>
      <t>力德</t>
    </r>
  </si>
  <si>
    <r>
      <t>Cap/2.2uF/1206/100V/X7R/10%/</t>
    </r>
    <r>
      <rPr>
        <sz val="12"/>
        <rFont val="新細明體"/>
        <family val="1"/>
        <charset val="136"/>
      </rPr>
      <t>力德</t>
    </r>
  </si>
  <si>
    <r>
      <t>Cap/10uF/1210/100V/X5R/10%/</t>
    </r>
    <r>
      <rPr>
        <sz val="12"/>
        <rFont val="新細明體"/>
        <family val="1"/>
        <charset val="136"/>
      </rPr>
      <t>力德</t>
    </r>
  </si>
  <si>
    <r>
      <t>Cap/0.1uF/1210/200V/10%/</t>
    </r>
    <r>
      <rPr>
        <sz val="12"/>
        <rFont val="新細明體"/>
        <family val="1"/>
        <charset val="136"/>
      </rPr>
      <t>華新科</t>
    </r>
  </si>
  <si>
    <r>
      <t>Cap/0.22uF/1210/200V/10%/</t>
    </r>
    <r>
      <rPr>
        <sz val="12"/>
        <rFont val="新細明體"/>
        <family val="1"/>
        <charset val="136"/>
      </rPr>
      <t>華新科</t>
    </r>
  </si>
  <si>
    <r>
      <t>Cap/0.47uF/1210/200V/20%/</t>
    </r>
    <r>
      <rPr>
        <sz val="12"/>
        <rFont val="新細明體"/>
        <family val="1"/>
        <charset val="136"/>
      </rPr>
      <t>華新科</t>
    </r>
  </si>
  <si>
    <r>
      <t>Cap/1206X226K160CT/22uF/1206/16V/10%/</t>
    </r>
    <r>
      <rPr>
        <sz val="12"/>
        <rFont val="新細明體"/>
        <family val="1"/>
        <charset val="136"/>
      </rPr>
      <t>華新科</t>
    </r>
  </si>
  <si>
    <r>
      <t>Diode/BAS45AL/SOD-323L/125V/250mA/</t>
    </r>
    <r>
      <rPr>
        <sz val="12"/>
        <rFont val="新細明體"/>
        <family val="1"/>
        <charset val="136"/>
      </rPr>
      <t>晨興</t>
    </r>
  </si>
  <si>
    <r>
      <t>Diode/1N4148WS-FL/SOD-323FL/75V/150mA/</t>
    </r>
    <r>
      <rPr>
        <sz val="12"/>
        <rFont val="新細明體"/>
        <family val="1"/>
        <charset val="136"/>
      </rPr>
      <t>美麗微</t>
    </r>
  </si>
  <si>
    <r>
      <t>TVS/PMV0603-5R5E5R0/0603/5.5V/1mA/PTTC</t>
    </r>
    <r>
      <rPr>
        <sz val="12"/>
        <rFont val="新細明體"/>
        <family val="1"/>
        <charset val="136"/>
      </rPr>
      <t>天巧</t>
    </r>
  </si>
  <si>
    <r>
      <t>TVS/SMBJ20A-Q/DO-214AA-2/20V/1mA/BOURNS</t>
    </r>
    <r>
      <rPr>
        <sz val="12"/>
        <rFont val="新細明體"/>
        <family val="1"/>
        <charset val="136"/>
      </rPr>
      <t>柏恩</t>
    </r>
  </si>
  <si>
    <r>
      <t>TVS/SMCJ110A/DO-214AB-2/110 V/8.4 A/</t>
    </r>
    <r>
      <rPr>
        <sz val="12"/>
        <rFont val="新細明體"/>
        <family val="1"/>
        <charset val="136"/>
      </rPr>
      <t>聚鼎</t>
    </r>
  </si>
  <si>
    <r>
      <t>Varistor/JVR10N220KT7P/2-DIP/22V/1mA/Φ 10 mm/7.5mm/</t>
    </r>
    <r>
      <rPr>
        <sz val="12"/>
        <rFont val="新細明體"/>
        <family val="1"/>
        <charset val="136"/>
      </rPr>
      <t>久尹</t>
    </r>
  </si>
  <si>
    <r>
      <t>LED/Green19-217-G7C-BK2L2VY-3T/0603/5V/25mA/577.5 nm/</t>
    </r>
    <r>
      <rPr>
        <sz val="12"/>
        <rFont val="新細明體"/>
        <family val="1"/>
        <charset val="136"/>
      </rPr>
      <t>億光</t>
    </r>
  </si>
  <si>
    <r>
      <t>LED/Red19-217-R6C-P1Q2-3T-V6/0603/5V/25mA/624 nm/</t>
    </r>
    <r>
      <rPr>
        <sz val="12"/>
        <rFont val="新細明體"/>
        <family val="1"/>
        <charset val="136"/>
      </rPr>
      <t>億光</t>
    </r>
  </si>
  <si>
    <r>
      <t>FUSE/SMFS0603P150/0603/32V/1.5A/</t>
    </r>
    <r>
      <rPr>
        <sz val="12"/>
        <rFont val="新細明體"/>
        <family val="1"/>
        <charset val="136"/>
      </rPr>
      <t>聚鼎</t>
    </r>
  </si>
  <si>
    <r>
      <t>FUSE/SMFF1206P1000/1206/32V/10A/</t>
    </r>
    <r>
      <rPr>
        <sz val="12"/>
        <rFont val="新細明體"/>
        <family val="1"/>
        <charset val="136"/>
      </rPr>
      <t>聚鼎</t>
    </r>
  </si>
  <si>
    <r>
      <t>FUSE/CLM3820P5045/3820/VOP 43.7 ~ 62.0 Vdc/Irated 45A/Rheater 38.5 ~ 68.0/</t>
    </r>
    <r>
      <rPr>
        <sz val="12"/>
        <rFont val="新細明體"/>
        <family val="1"/>
        <charset val="136"/>
      </rPr>
      <t>聚鼎</t>
    </r>
  </si>
  <si>
    <r>
      <t>FUSE/CLM3820P1430C/3820/80 VDC/30A/Rheater  6.3 ~ 9.3/</t>
    </r>
    <r>
      <rPr>
        <sz val="12"/>
        <rFont val="新細明體"/>
        <family val="1"/>
        <charset val="136"/>
      </rPr>
      <t>聚鼎</t>
    </r>
  </si>
  <si>
    <r>
      <t>FUSE/CLM1612P2015-AS/36 VDC/50A/Rheater 17.9 ~ 29.1/</t>
    </r>
    <r>
      <rPr>
        <sz val="12"/>
        <rFont val="新細明體"/>
        <family val="1"/>
        <charset val="136"/>
      </rPr>
      <t>聚鼎</t>
    </r>
  </si>
  <si>
    <r>
      <t>FUSE/CLM3820P3045/3820/80 VDC/45A/Rheater 10.0 ~ 17.7/</t>
    </r>
    <r>
      <rPr>
        <sz val="12"/>
        <rFont val="新細明體"/>
        <family val="1"/>
        <charset val="136"/>
      </rPr>
      <t>聚鼎</t>
    </r>
  </si>
  <si>
    <r>
      <t>FUSE/SMFF2410P200/2410/125VDC/2A//</t>
    </r>
    <r>
      <rPr>
        <sz val="12"/>
        <rFont val="新細明體"/>
        <family val="1"/>
        <charset val="136"/>
      </rPr>
      <t>聚鼎</t>
    </r>
  </si>
  <si>
    <r>
      <t>FUSE/SMFF2410P160/2410/125V/1.6A/</t>
    </r>
    <r>
      <rPr>
        <sz val="12"/>
        <rFont val="新細明體"/>
        <family val="1"/>
        <charset val="136"/>
      </rPr>
      <t>聚鼎</t>
    </r>
  </si>
  <si>
    <r>
      <t>N-MOS/IPT015N10N5/PG-HSOF-8/100V/300A/1.5mohm/Vth=3V/</t>
    </r>
    <r>
      <rPr>
        <sz val="12"/>
        <rFont val="新細明體"/>
        <family val="1"/>
        <charset val="136"/>
      </rPr>
      <t>英飛凌</t>
    </r>
  </si>
  <si>
    <r>
      <t>ADC</t>
    </r>
    <r>
      <rPr>
        <sz val="12"/>
        <rFont val="新細明體"/>
        <family val="1"/>
        <charset val="136"/>
      </rPr>
      <t>轉換器</t>
    </r>
    <r>
      <rPr>
        <sz val="12"/>
        <rFont val="Calibri"/>
        <family val="2"/>
      </rPr>
      <t xml:space="preserve"> IC</t>
    </r>
  </si>
  <si>
    <r>
      <t>N-MOS/2N7002/SOT-23-3(GSD)/60V/115mA/7.5ohmVth=2.1V/</t>
    </r>
    <r>
      <rPr>
        <sz val="12"/>
        <rFont val="新細明體"/>
        <family val="1"/>
        <charset val="136"/>
      </rPr>
      <t>恩智浦</t>
    </r>
  </si>
  <si>
    <r>
      <t>N-MOS/AOSS32136C/SOT-23-3(GSD)/20V/6.5A/20ohmVth=0.85V/</t>
    </r>
    <r>
      <rPr>
        <sz val="12"/>
        <rFont val="新細明體"/>
        <family val="1"/>
        <charset val="136"/>
      </rPr>
      <t>萬有</t>
    </r>
  </si>
  <si>
    <r>
      <t>N-MOS/DC3908Z/PPAK3X3/30V/48A/7.6mohmVth=1.6V/</t>
    </r>
    <r>
      <rPr>
        <sz val="12"/>
        <rFont val="新細明體"/>
        <family val="1"/>
        <charset val="136"/>
      </rPr>
      <t>立捷</t>
    </r>
  </si>
  <si>
    <r>
      <t>N-MOS/DMG3418L-7/SOT-23-3(GSD)/30V/4A/25ohmVth=1.5V/</t>
    </r>
    <r>
      <rPr>
        <sz val="12"/>
        <rFont val="新細明體"/>
        <family val="1"/>
        <charset val="136"/>
      </rPr>
      <t>達爾</t>
    </r>
  </si>
  <si>
    <r>
      <t>N-MOS/NCEP020N10LL/TOLL=11/100V/330A/2 mOhm/Vth=10V/</t>
    </r>
    <r>
      <rPr>
        <sz val="12"/>
        <rFont val="新細明體"/>
        <family val="1"/>
        <charset val="136"/>
      </rPr>
      <t>新潔能</t>
    </r>
  </si>
  <si>
    <r>
      <t>N-MOS/EMB17A03V/PIN=8/30V/10A/17mOhm/Vth=1.5V/</t>
    </r>
    <r>
      <rPr>
        <sz val="12"/>
        <rFont val="新細明體"/>
        <family val="1"/>
        <charset val="136"/>
      </rPr>
      <t>杰力</t>
    </r>
  </si>
  <si>
    <r>
      <t>P-MOS/ZVP3310F/SOT-23-3GSD/100V/75mA/20ohmVth=3.5V/</t>
    </r>
    <r>
      <rPr>
        <sz val="12"/>
        <rFont val="新細明體"/>
        <family val="1"/>
        <charset val="136"/>
      </rPr>
      <t>達爾</t>
    </r>
  </si>
  <si>
    <r>
      <t>P-MOS/PM9353NS/SOT-23-3(GSD)/100V/850mA/644mohmVth=1.8V/</t>
    </r>
    <r>
      <rPr>
        <sz val="12"/>
        <rFont val="新細明體"/>
        <family val="1"/>
        <charset val="136"/>
      </rPr>
      <t>立捷</t>
    </r>
  </si>
  <si>
    <r>
      <t>P-MOS/DMP3068L-7/SOT-23-3(GSD)/30V/3.9A/72mohmVth=1.3V/</t>
    </r>
    <r>
      <rPr>
        <sz val="12"/>
        <rFont val="新細明體"/>
        <family val="1"/>
        <charset val="136"/>
      </rPr>
      <t>達爾</t>
    </r>
  </si>
  <si>
    <r>
      <t>P-MOS/SIA469DJ-T1-GE3/SC-70-6/30V/12A/21 mOhm/Vth=3V/</t>
    </r>
    <r>
      <rPr>
        <sz val="12"/>
        <rFont val="新細明體"/>
        <family val="1"/>
        <charset val="136"/>
      </rPr>
      <t>威世</t>
    </r>
  </si>
  <si>
    <r>
      <t xml:space="preserve">Magnetic Buzzer </t>
    </r>
    <r>
      <rPr>
        <sz val="12"/>
        <rFont val="新細明體"/>
        <family val="1"/>
        <charset val="136"/>
      </rPr>
      <t>有源蜂鳴器</t>
    </r>
  </si>
  <si>
    <r>
      <t>Buzzer/TMX090042F-05027/DIP-2-5mm/5V/30mA/80db/Φ9.0 x H4.2/</t>
    </r>
    <r>
      <rPr>
        <sz val="12"/>
        <rFont val="新細明體"/>
        <family val="1"/>
        <charset val="136"/>
      </rPr>
      <t>嘉林</t>
    </r>
  </si>
  <si>
    <r>
      <t>PUSHBUTTON/TSSA-3L 8mm/PB10-SMD/12V/50mA/200mohm/6x6mm/</t>
    </r>
    <r>
      <rPr>
        <sz val="12"/>
        <rFont val="新細明體"/>
        <family val="1"/>
        <charset val="136"/>
      </rPr>
      <t>華傑</t>
    </r>
  </si>
  <si>
    <r>
      <t>PUSHBUTTON/TS-A02Z-3L 15mm/180deg/12V/50mA/100mohm/ /</t>
    </r>
    <r>
      <rPr>
        <sz val="12"/>
        <rFont val="新細明體"/>
        <family val="1"/>
        <charset val="136"/>
      </rPr>
      <t>建倚</t>
    </r>
  </si>
  <si>
    <r>
      <t>PUSHBUTTON/TS-A02VB-3.4L 7mm/90deg/12V/50mA/100mohm/ /</t>
    </r>
    <r>
      <rPr>
        <sz val="12"/>
        <rFont val="新細明體"/>
        <family val="1"/>
        <charset val="136"/>
      </rPr>
      <t>建倚</t>
    </r>
  </si>
  <si>
    <r>
      <t>PUSHBUTTON/TS-A87-2L 1.5mm/180deg/12V/50mA/100mohm/</t>
    </r>
    <r>
      <rPr>
        <sz val="12"/>
        <rFont val="新細明體"/>
        <family val="1"/>
        <charset val="136"/>
      </rPr>
      <t>建倚</t>
    </r>
  </si>
  <si>
    <r>
      <t>PUSHBUTTON/TSSD-3L(8mm)/260±70(gf)/SMD/12V/50mA/200mohm/</t>
    </r>
    <r>
      <rPr>
        <sz val="12"/>
        <rFont val="新細明體"/>
        <family val="1"/>
        <charset val="136"/>
      </rPr>
      <t>華傑</t>
    </r>
    <r>
      <rPr>
        <sz val="12"/>
        <rFont val="Calibri"/>
        <family val="2"/>
      </rPr>
      <t>HUA-JIE</t>
    </r>
  </si>
  <si>
    <r>
      <t>PUSHBUTTON/TSSD-2L(8mm)/12V/50mA/200mohm/</t>
    </r>
    <r>
      <rPr>
        <sz val="12"/>
        <rFont val="新細明體"/>
        <family val="1"/>
        <charset val="136"/>
      </rPr>
      <t>慶翌</t>
    </r>
  </si>
  <si>
    <r>
      <t>Socket/Coin battery/796136-1/SMD/</t>
    </r>
    <r>
      <rPr>
        <sz val="12"/>
        <rFont val="新細明體"/>
        <family val="1"/>
        <charset val="136"/>
      </rPr>
      <t>瑞澤</t>
    </r>
  </si>
  <si>
    <r>
      <t>Socket/MicroSD/CIM-H75N4/SMD/10V/0.5A/100mohm/13.7mm x 15.3mm</t>
    </r>
    <r>
      <rPr>
        <sz val="12"/>
        <rFont val="新細明體"/>
        <family val="1"/>
        <charset val="136"/>
      </rPr>
      <t>瑞澤</t>
    </r>
  </si>
  <si>
    <r>
      <t>Wafer/CX-W250-10/10PIN/180deg-Dip/2.5mm/</t>
    </r>
    <r>
      <rPr>
        <sz val="12"/>
        <rFont val="新細明體"/>
        <family val="1"/>
        <charset val="136"/>
      </rPr>
      <t>承洧</t>
    </r>
  </si>
  <si>
    <r>
      <t>Wafer/CX-W250-02/2PIN/180deg-Dip/2.5mm/</t>
    </r>
    <r>
      <rPr>
        <sz val="12"/>
        <rFont val="新細明體"/>
        <family val="1"/>
        <charset val="136"/>
      </rPr>
      <t>承洧</t>
    </r>
  </si>
  <si>
    <r>
      <t>Wafer/CX-W250-03/3PIN/180deg-Dip/2.5mm/</t>
    </r>
    <r>
      <rPr>
        <sz val="12"/>
        <rFont val="新細明體"/>
        <family val="1"/>
        <charset val="136"/>
      </rPr>
      <t>承洧</t>
    </r>
  </si>
  <si>
    <r>
      <t>Wafer/3PIN/90deg-Dip/2.5mm/</t>
    </r>
    <r>
      <rPr>
        <sz val="12"/>
        <rFont val="新細明體"/>
        <family val="1"/>
        <charset val="136"/>
      </rPr>
      <t>承洧</t>
    </r>
  </si>
  <si>
    <r>
      <t>Wafer/CX-W250-04/4PIN/180deg-Dip/2.5mm/</t>
    </r>
    <r>
      <rPr>
        <sz val="12"/>
        <rFont val="新細明體"/>
        <family val="1"/>
        <charset val="136"/>
      </rPr>
      <t>承洧</t>
    </r>
  </si>
  <si>
    <r>
      <t>Wafer/4PIN/90deg-Dip/2.5mm/</t>
    </r>
    <r>
      <rPr>
        <sz val="12"/>
        <rFont val="新細明體"/>
        <family val="1"/>
        <charset val="136"/>
      </rPr>
      <t>承洧</t>
    </r>
  </si>
  <si>
    <r>
      <t>Wafer/CX-W250-06/6PIN/180deg-Dip/2.5mm/</t>
    </r>
    <r>
      <rPr>
        <sz val="12"/>
        <rFont val="新細明體"/>
        <family val="1"/>
        <charset val="136"/>
      </rPr>
      <t>承洧</t>
    </r>
  </si>
  <si>
    <r>
      <t>Wafer/CX-W250-07/7PIN/180deg-Dip/2.5mm/</t>
    </r>
    <r>
      <rPr>
        <sz val="12"/>
        <rFont val="新細明體"/>
        <family val="1"/>
        <charset val="136"/>
      </rPr>
      <t>承洧</t>
    </r>
  </si>
  <si>
    <r>
      <t>Wafer/CX-W250-08/8PIN/180deg-Dip/2.5mm/</t>
    </r>
    <r>
      <rPr>
        <sz val="12"/>
        <rFont val="新細明體"/>
        <family val="1"/>
        <charset val="136"/>
      </rPr>
      <t>承洧</t>
    </r>
  </si>
  <si>
    <r>
      <t>Wafer/CX-W250-09/9PIN/180deg-Dip/2.5mm/</t>
    </r>
    <r>
      <rPr>
        <sz val="12"/>
        <rFont val="新細明體"/>
        <family val="1"/>
        <charset val="136"/>
      </rPr>
      <t>承洧</t>
    </r>
  </si>
  <si>
    <r>
      <t>Wafer/5PIN/180deg-Dip/2.5mm/</t>
    </r>
    <r>
      <rPr>
        <sz val="12"/>
        <rFont val="新細明體"/>
        <family val="1"/>
        <charset val="136"/>
      </rPr>
      <t>承洧</t>
    </r>
  </si>
  <si>
    <r>
      <t>Wafer/8PIN/90deg-Dip/2.5mm/</t>
    </r>
    <r>
      <rPr>
        <sz val="12"/>
        <rFont val="新細明體"/>
        <family val="1"/>
        <charset val="136"/>
      </rPr>
      <t>承洧</t>
    </r>
  </si>
  <si>
    <r>
      <t>Wafer/5PIN/90deg-Dip/2.5mm/</t>
    </r>
    <r>
      <rPr>
        <sz val="12"/>
        <rFont val="新細明體"/>
        <family val="1"/>
        <charset val="136"/>
      </rPr>
      <t>承洧</t>
    </r>
  </si>
  <si>
    <r>
      <t>Wafer/14PIN/90deg-Dip/2.5mm/</t>
    </r>
    <r>
      <rPr>
        <sz val="12"/>
        <rFont val="新細明體"/>
        <family val="1"/>
        <charset val="136"/>
      </rPr>
      <t>承洧</t>
    </r>
  </si>
  <si>
    <r>
      <t>Wafer/6PIN/90deg-Dip/2.5mm/</t>
    </r>
    <r>
      <rPr>
        <sz val="12"/>
        <rFont val="新細明體"/>
        <family val="1"/>
        <charset val="136"/>
      </rPr>
      <t>承洧</t>
    </r>
  </si>
  <si>
    <r>
      <t>Wafer/15PIN/90deg-Dip/2.5mm/</t>
    </r>
    <r>
      <rPr>
        <sz val="12"/>
        <rFont val="新細明體"/>
        <family val="1"/>
        <charset val="136"/>
      </rPr>
      <t>承洧</t>
    </r>
  </si>
  <si>
    <r>
      <t>Wafer/15PIN/180deg-Dip/2.5mm/</t>
    </r>
    <r>
      <rPr>
        <sz val="12"/>
        <rFont val="新細明體"/>
        <family val="1"/>
        <charset val="136"/>
      </rPr>
      <t>承洧</t>
    </r>
  </si>
  <si>
    <r>
      <t>Wafer/2PIN/90deg-Dip/2.5mm/</t>
    </r>
    <r>
      <rPr>
        <sz val="12"/>
        <rFont val="新細明體"/>
        <family val="1"/>
        <charset val="136"/>
      </rPr>
      <t>承洧</t>
    </r>
  </si>
  <si>
    <r>
      <t>Wafer/11PIN/180deg-Dip/2.5mm/</t>
    </r>
    <r>
      <rPr>
        <sz val="12"/>
        <rFont val="新細明體"/>
        <family val="1"/>
        <charset val="136"/>
      </rPr>
      <t>承洧</t>
    </r>
  </si>
  <si>
    <r>
      <t>Wafer/10PIN/90deg-Dip/2.5mm/</t>
    </r>
    <r>
      <rPr>
        <sz val="12"/>
        <rFont val="新細明體"/>
        <family val="1"/>
        <charset val="136"/>
      </rPr>
      <t>承洧</t>
    </r>
  </si>
  <si>
    <r>
      <t>Wafer/2PIN/180deg-Dip/3.96mm/</t>
    </r>
    <r>
      <rPr>
        <sz val="12"/>
        <rFont val="新細明體"/>
        <family val="1"/>
        <charset val="136"/>
      </rPr>
      <t>承洧</t>
    </r>
  </si>
  <si>
    <r>
      <t>Wafer/3PIN/180deg-Dip/3.96mm/</t>
    </r>
    <r>
      <rPr>
        <sz val="12"/>
        <rFont val="新細明體"/>
        <family val="1"/>
        <charset val="136"/>
      </rPr>
      <t>承洧</t>
    </r>
  </si>
  <si>
    <r>
      <t>Wafer/6PIN/180deg-Dip/3.96mm/</t>
    </r>
    <r>
      <rPr>
        <sz val="12"/>
        <rFont val="新細明體"/>
        <family val="1"/>
        <charset val="136"/>
      </rPr>
      <t>承洧</t>
    </r>
  </si>
  <si>
    <r>
      <t>Wafer/2PIN/90deg-Dip/3.96mm/</t>
    </r>
    <r>
      <rPr>
        <sz val="12"/>
        <rFont val="新細明體"/>
        <family val="1"/>
        <charset val="136"/>
      </rPr>
      <t>承洧</t>
    </r>
  </si>
  <si>
    <r>
      <t>Wafer/3PIN/90deg-Dip/3.96mm/</t>
    </r>
    <r>
      <rPr>
        <sz val="12"/>
        <rFont val="新細明體"/>
        <family val="1"/>
        <charset val="136"/>
      </rPr>
      <t>承洧</t>
    </r>
  </si>
  <si>
    <r>
      <t>Wafer/6PIN/90deg-Dip/3.96mm/</t>
    </r>
    <r>
      <rPr>
        <sz val="12"/>
        <rFont val="新細明體"/>
        <family val="1"/>
        <charset val="136"/>
      </rPr>
      <t>承洧</t>
    </r>
  </si>
  <si>
    <r>
      <t>Wafer/CX-W250-12/12PIN/180deg-Dip/2.5mm/</t>
    </r>
    <r>
      <rPr>
        <sz val="12"/>
        <rFont val="新細明體"/>
        <family val="1"/>
        <charset val="136"/>
      </rPr>
      <t>承洧</t>
    </r>
  </si>
  <si>
    <r>
      <t>Wafer/CX-W250-20/20PIN/180deg-Dip/2.5mm/</t>
    </r>
    <r>
      <rPr>
        <sz val="12"/>
        <rFont val="新細明體"/>
        <family val="1"/>
        <charset val="136"/>
      </rPr>
      <t>承洧</t>
    </r>
  </si>
  <si>
    <r>
      <t>Wafer/CX-W250-13/13PIN/180deg-Dip/2.5mm/</t>
    </r>
    <r>
      <rPr>
        <sz val="12"/>
        <rFont val="新細明體"/>
        <family val="1"/>
        <charset val="136"/>
      </rPr>
      <t>承洧</t>
    </r>
  </si>
  <si>
    <r>
      <t>Wafer/CX-W250-14/14PIN/180deg-Dip/2.5mm/</t>
    </r>
    <r>
      <rPr>
        <sz val="12"/>
        <rFont val="新細明體"/>
        <family val="1"/>
        <charset val="136"/>
      </rPr>
      <t>承洧</t>
    </r>
  </si>
  <si>
    <r>
      <t>Wafer/CX-W250-16/16PIN/180deg-Dip/2.5mm/</t>
    </r>
    <r>
      <rPr>
        <sz val="12"/>
        <rFont val="新細明體"/>
        <family val="1"/>
        <charset val="136"/>
      </rPr>
      <t>承洧</t>
    </r>
  </si>
  <si>
    <r>
      <t>Wafer/CX-W250-17/17PIN/180deg-Dip/2.5mm/</t>
    </r>
    <r>
      <rPr>
        <sz val="12"/>
        <rFont val="新細明體"/>
        <family val="1"/>
        <charset val="136"/>
      </rPr>
      <t>承洧</t>
    </r>
  </si>
  <si>
    <r>
      <t>Wafer/CX-W250-18/18PIN/180deg-Dip/2.5mm/</t>
    </r>
    <r>
      <rPr>
        <sz val="12"/>
        <rFont val="新細明體"/>
        <family val="1"/>
        <charset val="136"/>
      </rPr>
      <t>承洧</t>
    </r>
  </si>
  <si>
    <r>
      <t>Wafer/CX-W250-19/19PIN/180deg-Dip/2.5mm/</t>
    </r>
    <r>
      <rPr>
        <sz val="12"/>
        <rFont val="新細明體"/>
        <family val="1"/>
        <charset val="136"/>
      </rPr>
      <t>承洧</t>
    </r>
  </si>
  <si>
    <r>
      <t>Wafer/CX-W250R-07/7PIN/90deg-Dip/2.5mm/</t>
    </r>
    <r>
      <rPr>
        <sz val="12"/>
        <rFont val="新細明體"/>
        <family val="1"/>
        <charset val="136"/>
      </rPr>
      <t>承洧</t>
    </r>
  </si>
  <si>
    <r>
      <t>Wafer/CX-W250R-09/9PIN/90deg-Dip/2.5mm/</t>
    </r>
    <r>
      <rPr>
        <sz val="12"/>
        <rFont val="新細明體"/>
        <family val="1"/>
        <charset val="136"/>
      </rPr>
      <t>承洧</t>
    </r>
  </si>
  <si>
    <r>
      <t>Wafer/CX-W250R-11/11PIN/90deg-Dip/2.5mm/</t>
    </r>
    <r>
      <rPr>
        <sz val="12"/>
        <rFont val="新細明體"/>
        <family val="1"/>
        <charset val="136"/>
      </rPr>
      <t>承洧</t>
    </r>
  </si>
  <si>
    <r>
      <t>Wafer/CX-W250R-12/12PIN/90deg-Dip/2.5mm/</t>
    </r>
    <r>
      <rPr>
        <sz val="12"/>
        <rFont val="新細明體"/>
        <family val="1"/>
        <charset val="136"/>
      </rPr>
      <t>承洧</t>
    </r>
  </si>
  <si>
    <r>
      <t>Wafer/CX-W250R-13/13PIN/90deg-Dip/2.5mm/</t>
    </r>
    <r>
      <rPr>
        <sz val="12"/>
        <rFont val="新細明體"/>
        <family val="1"/>
        <charset val="136"/>
      </rPr>
      <t>承洧</t>
    </r>
  </si>
  <si>
    <r>
      <t>Wafer/CX-W250R-16/16PIN/90deg-Dip/2.5mm/</t>
    </r>
    <r>
      <rPr>
        <sz val="12"/>
        <rFont val="新細明體"/>
        <family val="1"/>
        <charset val="136"/>
      </rPr>
      <t>承洧</t>
    </r>
  </si>
  <si>
    <r>
      <t>Wafer/CX-W250R-17/17PIN/90deg-Dip/2.5mm/</t>
    </r>
    <r>
      <rPr>
        <sz val="12"/>
        <rFont val="新細明體"/>
        <family val="1"/>
        <charset val="136"/>
      </rPr>
      <t>承洧</t>
    </r>
  </si>
  <si>
    <r>
      <t>Wafer/CX-W250R-18/18PIN/90deg-Dip/2.5mm/</t>
    </r>
    <r>
      <rPr>
        <sz val="12"/>
        <rFont val="新細明體"/>
        <family val="1"/>
        <charset val="136"/>
      </rPr>
      <t>承洧</t>
    </r>
  </si>
  <si>
    <r>
      <t>L-03R2D241C11-01-T-A/3</t>
    </r>
    <r>
      <rPr>
        <sz val="12"/>
        <rFont val="新細明體"/>
        <family val="1"/>
        <charset val="136"/>
      </rPr>
      <t>∮</t>
    </r>
    <r>
      <rPr>
        <sz val="12"/>
        <rFont val="Calibri"/>
        <family val="2"/>
      </rPr>
      <t xml:space="preserve"> RED/30mA/2V</t>
    </r>
  </si>
  <si>
    <r>
      <t>L-03K2D24WC11-01-T-A/3</t>
    </r>
    <r>
      <rPr>
        <sz val="12"/>
        <rFont val="新細明體"/>
        <family val="1"/>
        <charset val="136"/>
      </rPr>
      <t>∮</t>
    </r>
    <r>
      <rPr>
        <sz val="12"/>
        <rFont val="Calibri"/>
        <family val="2"/>
      </rPr>
      <t xml:space="preserve"> </t>
    </r>
    <r>
      <rPr>
        <sz val="12"/>
        <rFont val="新細明體"/>
        <family val="1"/>
        <charset val="136"/>
      </rPr>
      <t>黃綠光</t>
    </r>
    <r>
      <rPr>
        <sz val="12"/>
        <rFont val="Calibri"/>
        <family val="2"/>
      </rPr>
      <t>/30mA/2V</t>
    </r>
  </si>
  <si>
    <r>
      <t xml:space="preserve">Header/Female/2x8 </t>
    </r>
    <r>
      <rPr>
        <sz val="12"/>
        <rFont val="新細明體"/>
        <family val="1"/>
        <charset val="136"/>
      </rPr>
      <t>雙排</t>
    </r>
    <r>
      <rPr>
        <sz val="12"/>
        <rFont val="Calibri"/>
        <family val="2"/>
      </rPr>
      <t>/DIP/180deg/2.54mm/F201-SGN-D030-16/</t>
    </r>
    <r>
      <rPr>
        <sz val="12"/>
        <rFont val="新細明體"/>
        <family val="1"/>
        <charset val="136"/>
      </rPr>
      <t>承洧</t>
    </r>
  </si>
  <si>
    <r>
      <t xml:space="preserve">PCB </t>
    </r>
    <r>
      <rPr>
        <sz val="12"/>
        <rFont val="新細明體"/>
        <family val="1"/>
        <charset val="136"/>
      </rPr>
      <t>空板</t>
    </r>
  </si>
  <si>
    <r>
      <t>KNK_Main Board(</t>
    </r>
    <r>
      <rPr>
        <sz val="12"/>
        <rFont val="新細明體"/>
        <family val="1"/>
        <charset val="136"/>
      </rPr>
      <t>空板</t>
    </r>
    <r>
      <rPr>
        <sz val="12"/>
        <rFont val="Calibri"/>
        <family val="2"/>
      </rPr>
      <t>)</t>
    </r>
  </si>
  <si>
    <r>
      <t>KNK_SCP Board(</t>
    </r>
    <r>
      <rPr>
        <sz val="12"/>
        <rFont val="新細明體"/>
        <family val="1"/>
        <charset val="136"/>
      </rPr>
      <t>空板</t>
    </r>
    <r>
      <rPr>
        <sz val="12"/>
        <rFont val="Calibri"/>
        <family val="2"/>
      </rPr>
      <t>)</t>
    </r>
  </si>
  <si>
    <r>
      <t>KNK_FET Board(</t>
    </r>
    <r>
      <rPr>
        <sz val="12"/>
        <rFont val="新細明體"/>
        <family val="1"/>
        <charset val="136"/>
      </rPr>
      <t>空板</t>
    </r>
    <r>
      <rPr>
        <sz val="12"/>
        <rFont val="Calibri"/>
        <family val="2"/>
      </rPr>
      <t>)</t>
    </r>
  </si>
  <si>
    <r>
      <t>GU34_LED Board(</t>
    </r>
    <r>
      <rPr>
        <sz val="12"/>
        <rFont val="新細明體"/>
        <family val="1"/>
        <charset val="136"/>
      </rPr>
      <t>空板</t>
    </r>
    <r>
      <rPr>
        <sz val="12"/>
        <rFont val="Calibri"/>
        <family val="2"/>
      </rPr>
      <t>)</t>
    </r>
  </si>
  <si>
    <r>
      <t>Makita</t>
    </r>
    <r>
      <rPr>
        <sz val="12"/>
        <rFont val="新細明體"/>
        <family val="1"/>
        <charset val="136"/>
      </rPr>
      <t>手工具</t>
    </r>
    <r>
      <rPr>
        <sz val="12"/>
        <rFont val="Calibri"/>
        <family val="2"/>
      </rPr>
      <t>/5S2P/LED/2layer/1oz/25.8x17xT0.8mm/V01</t>
    </r>
  </si>
  <si>
    <r>
      <t xml:space="preserve">143x113xT1.6mm </t>
    </r>
    <r>
      <rPr>
        <sz val="12"/>
        <rFont val="新細明體"/>
        <family val="1"/>
        <charset val="136"/>
      </rPr>
      <t>采鑫</t>
    </r>
  </si>
  <si>
    <r>
      <t xml:space="preserve">96.6x38x1.6mm </t>
    </r>
    <r>
      <rPr>
        <sz val="12"/>
        <rFont val="新細明體"/>
        <family val="1"/>
        <charset val="136"/>
      </rPr>
      <t>采鑫</t>
    </r>
  </si>
  <si>
    <r>
      <t xml:space="preserve">238x113xT1.6mm </t>
    </r>
    <r>
      <rPr>
        <sz val="12"/>
        <rFont val="新細明體"/>
        <family val="1"/>
        <charset val="136"/>
      </rPr>
      <t>采鑫</t>
    </r>
  </si>
  <si>
    <r>
      <t>GU34_Main Board(</t>
    </r>
    <r>
      <rPr>
        <sz val="12"/>
        <rFont val="新細明體"/>
        <family val="1"/>
        <charset val="136"/>
      </rPr>
      <t>空板</t>
    </r>
    <r>
      <rPr>
        <sz val="12"/>
        <rFont val="Calibri"/>
        <family val="2"/>
      </rPr>
      <t>)</t>
    </r>
  </si>
  <si>
    <r>
      <t>Makita</t>
    </r>
    <r>
      <rPr>
        <sz val="12"/>
        <rFont val="新細明體"/>
        <family val="1"/>
        <charset val="136"/>
      </rPr>
      <t>手工具</t>
    </r>
    <r>
      <rPr>
        <sz val="12"/>
        <rFont val="Calibri"/>
        <family val="2"/>
      </rPr>
      <t>/5S2P/main/4layer/2oz/81x58.8xT1.0mm/V03</t>
    </r>
  </si>
  <si>
    <r>
      <rPr>
        <sz val="12"/>
        <rFont val="新細明體"/>
        <family val="1"/>
        <charset val="136"/>
      </rPr>
      <t>光耦合器</t>
    </r>
  </si>
  <si>
    <r>
      <t>Photocoupler/TLP3555A(TP1,F/DIP-4/5V/3A/550 mW/SMD/</t>
    </r>
    <r>
      <rPr>
        <sz val="12"/>
        <rFont val="新細明體"/>
        <family val="1"/>
        <charset val="136"/>
      </rPr>
      <t>東芝</t>
    </r>
  </si>
  <si>
    <r>
      <t>Photocoupler/6N136S-TA1-L/8-SMD/20V/8mA/</t>
    </r>
    <r>
      <rPr>
        <sz val="12"/>
        <rFont val="新細明體"/>
        <family val="1"/>
        <charset val="136"/>
      </rPr>
      <t>晨興</t>
    </r>
    <phoneticPr fontId="3" type="noConversion"/>
  </si>
  <si>
    <r>
      <rPr>
        <sz val="12"/>
        <rFont val="新細明體"/>
        <family val="1"/>
        <charset val="136"/>
      </rPr>
      <t>特殊電感</t>
    </r>
  </si>
  <si>
    <r>
      <t>Bead/FB160808D601-LRH/0603/600Z/</t>
    </r>
    <r>
      <rPr>
        <sz val="12"/>
        <rFont val="新細明體"/>
        <family val="1"/>
        <charset val="136"/>
      </rPr>
      <t>信昌</t>
    </r>
  </si>
  <si>
    <r>
      <t>Power Choke/SDTI054T-150MS/SMD/15uH/2A/79mohm/4.9mm x 4.9mm x 4.0mm</t>
    </r>
    <r>
      <rPr>
        <sz val="12"/>
        <rFont val="新細明體"/>
        <family val="1"/>
        <charset val="136"/>
      </rPr>
      <t>乾坤</t>
    </r>
  </si>
  <si>
    <r>
      <t>Common Mode Filters/ACT45B/SMD/50V/0.2A/1ohm/5.0mm x 3.4mm x2.8mm</t>
    </r>
    <r>
      <rPr>
        <sz val="12"/>
        <rFont val="新細明體"/>
        <family val="1"/>
        <charset val="136"/>
      </rPr>
      <t>台灣東電化</t>
    </r>
  </si>
  <si>
    <r>
      <t>Inductance/SDTI054T-4R7MS/4.7uH/5A/27mOhm/</t>
    </r>
    <r>
      <rPr>
        <sz val="12"/>
        <rFont val="新細明體"/>
        <family val="1"/>
        <charset val="136"/>
      </rPr>
      <t>乾坤</t>
    </r>
  </si>
  <si>
    <r>
      <t xml:space="preserve">Crystal Oscillators </t>
    </r>
    <r>
      <rPr>
        <sz val="12"/>
        <rFont val="新細明體"/>
        <family val="1"/>
        <charset val="136"/>
      </rPr>
      <t>晶體振盪器</t>
    </r>
  </si>
  <si>
    <r>
      <t>Crystal/CXA-008000-5D7D40/SMD/CL=12PF/8MHz/5x3.2mm/</t>
    </r>
    <r>
      <rPr>
        <sz val="12"/>
        <rFont val="新細明體"/>
        <family val="1"/>
        <charset val="136"/>
      </rPr>
      <t>安碁</t>
    </r>
  </si>
  <si>
    <r>
      <t>Crystal/D31-032768-BDRD4A/SMD/CL=12.5PF/32.768kHz/3.2x1.5mm/</t>
    </r>
    <r>
      <rPr>
        <sz val="12"/>
        <rFont val="新細明體"/>
        <family val="1"/>
        <charset val="136"/>
      </rPr>
      <t>安碁</t>
    </r>
  </si>
  <si>
    <r>
      <t>Crystal/CXA-032000-3F8F23/3225/CL=10PF/32 MHz/3.2x2.5mm/</t>
    </r>
    <r>
      <rPr>
        <sz val="12"/>
        <rFont val="新細明體"/>
        <family val="1"/>
        <charset val="136"/>
      </rPr>
      <t>安碁</t>
    </r>
  </si>
  <si>
    <r>
      <t>RTC/RX8130CE/SMD/3V/300nA/32.768kHz/3.2mm x 2.5mm/</t>
    </r>
    <r>
      <rPr>
        <sz val="12"/>
        <rFont val="新細明體"/>
        <family val="1"/>
        <charset val="136"/>
      </rPr>
      <t>瑞澤</t>
    </r>
  </si>
  <si>
    <r>
      <t>Dip Switch/ADPA-06R-T/90deg-DIP-2x6/24V/25mA/50mohm/2.54mm/</t>
    </r>
    <r>
      <rPr>
        <sz val="12"/>
        <rFont val="新細明體"/>
        <family val="1"/>
        <charset val="136"/>
      </rPr>
      <t>瑞澤</t>
    </r>
  </si>
  <si>
    <r>
      <t>Dip Switch/ADPS-06R-T/180deg-DIP-2x6/24V/25mA/100mohm/2.54mm/</t>
    </r>
    <r>
      <rPr>
        <sz val="12"/>
        <rFont val="新細明體"/>
        <family val="1"/>
        <charset val="136"/>
      </rPr>
      <t>瑞澤</t>
    </r>
  </si>
  <si>
    <r>
      <t>Dip Switch/ADPA-08R-T/90deg-DIP-2x8/24V/25mA/100mohm/2.54mm/</t>
    </r>
    <r>
      <rPr>
        <sz val="12"/>
        <rFont val="新細明體"/>
        <family val="1"/>
        <charset val="136"/>
      </rPr>
      <t>瑞澤</t>
    </r>
  </si>
  <si>
    <r>
      <t>Dip Switch/ADPS-06B-T/180deg-DIP-2x6/24V/25mA/100mohm/2.54mm/</t>
    </r>
    <r>
      <rPr>
        <sz val="12"/>
        <rFont val="新細明體"/>
        <family val="1"/>
        <charset val="136"/>
      </rPr>
      <t>瑞澤</t>
    </r>
  </si>
  <si>
    <r>
      <t>Connector/P-820W/DIP/50A/5.00x7.00/</t>
    </r>
    <r>
      <rPr>
        <sz val="12"/>
        <rFont val="新細明體"/>
        <family val="1"/>
        <charset val="136"/>
      </rPr>
      <t>町洋</t>
    </r>
  </si>
  <si>
    <r>
      <t>Connector/P-831/DIP/85A/8.00 * 10.80/</t>
    </r>
    <r>
      <rPr>
        <sz val="12"/>
        <rFont val="新細明體"/>
        <family val="1"/>
        <charset val="136"/>
      </rPr>
      <t>町洋</t>
    </r>
  </si>
  <si>
    <r>
      <rPr>
        <sz val="12"/>
        <rFont val="新細明體"/>
        <family val="1"/>
        <charset val="136"/>
      </rPr>
      <t>雙極結晶體管</t>
    </r>
    <r>
      <rPr>
        <sz val="12"/>
        <rFont val="Calibri"/>
        <family val="2"/>
      </rPr>
      <t>-BJT</t>
    </r>
  </si>
  <si>
    <t>B1500A001</t>
    <phoneticPr fontId="1" type="noConversion"/>
  </si>
  <si>
    <t>入庫</t>
    <phoneticPr fontId="1" type="noConversion"/>
  </si>
  <si>
    <t>出庫</t>
    <phoneticPr fontId="1" type="noConversion"/>
  </si>
  <si>
    <t>李洲</t>
    <phoneticPr fontId="1" type="noConversion"/>
  </si>
  <si>
    <t>新購</t>
    <phoneticPr fontId="1" type="noConversion"/>
  </si>
  <si>
    <t>回庫</t>
    <phoneticPr fontId="1" type="noConversion"/>
  </si>
  <si>
    <t>入庫</t>
  </si>
  <si>
    <t>SUMIFS(加總範圍,條件範圍1,條件1,條件範圍2,條件2...)</t>
  </si>
  <si>
    <t>盤點</t>
  </si>
  <si>
    <t>盤點</t>
    <phoneticPr fontId="1" type="noConversion"/>
  </si>
  <si>
    <t>RES/WR06X000PTL/0R/0603/75V/JUMP/1/10W/華新科</t>
  </si>
  <si>
    <t>RES/WR06X1101FTL/1.1K/0603/75V/1%/1/10W/華新科</t>
  </si>
  <si>
    <t>RES/WR06X1153FTL/115K/0603/75V/1%/1/10W/華新科</t>
  </si>
  <si>
    <t>RES/WR06X2002FTL/20K/0603/75V/1%/1/10W/華新科</t>
  </si>
  <si>
    <t>RES/WR06X2212FTL/22.1K/0603/75V/1%/1/10W/華新科</t>
  </si>
  <si>
    <t>RES/WR06X3300FTL/330R/0603/75V/1%/1/10W/華新科</t>
  </si>
  <si>
    <t>RES/WR06X4701FTL/4.7K/0603/75V/1%/1/10W/華新科</t>
  </si>
  <si>
    <t>RES/WR06X514JTL/510K/0603/75V/5%/1/10W/華新科</t>
  </si>
  <si>
    <t>RES/WR06X5100FTL/510R/0603/75V/1%/1/10W/華新科</t>
  </si>
  <si>
    <t>RES/WR06X6803FTL/680K/0603/75V/1%/1/10W/華新科</t>
  </si>
  <si>
    <t>RES/WR06X8872FTL/88.7K/0603/75V/1%/1/10W/華新科</t>
  </si>
  <si>
    <t>RES/WR06X1000FTL/100R/0603/75V/1%/1/10W/華新科</t>
  </si>
  <si>
    <t>RES/WR06X2053FTL/205K/0603/75V/1%/1/10W/華新科</t>
  </si>
  <si>
    <t>RES/WR06X8201FTL/8.2K/0603/75V/1%/1/10W/華新科</t>
  </si>
  <si>
    <t>RES/WR06X1R0JTL/1R/0603/75V/5%/1/10W/華新科</t>
  </si>
  <si>
    <t>RES/WR06X103JTL/10K/0603/75V/5%/1/10W/華新科</t>
  </si>
  <si>
    <t>RES/WR06X4993FTL/499K/0603/75V/1%/1/10W/華新科</t>
  </si>
  <si>
    <t>RES/WR06X1273FTL/127K/0603/75V/1%/1/10W/華新科</t>
  </si>
  <si>
    <t>RES/WR06X2000FTL/200R/0603/75V/1%/1/10W/華新科</t>
  </si>
  <si>
    <t>RES/WR06X4702FTL/47K/0603/75V/1%/1/10W/華新科</t>
  </si>
  <si>
    <t>RES/WR06X304JTL/300K/0603/75V/5%/1/10W/華新科</t>
  </si>
  <si>
    <t>RES/WR06X1402FTL/14K/0603/75V/1%/1/10W/華新科</t>
  </si>
  <si>
    <t>RES/WR06X682JTL/6.8K/0603/75V/5%/1/10W/華新科</t>
  </si>
  <si>
    <t>RES/WR06X2373FTL/237K/0603/75V/1%/1/10W/華新科</t>
  </si>
  <si>
    <t>RES/WR06X2R20FTL/2.2R/0603/75V/1%/1/10W/華新科</t>
  </si>
  <si>
    <t>RES/WR06X102JTL/1K/0603/75V/5%/1/10W/華新科</t>
  </si>
  <si>
    <t>RES/WR06X2200FTL/220R/0603/75V/1%/1/10W/華新科</t>
  </si>
  <si>
    <t>來源</t>
    <phoneticPr fontId="1" type="noConversion"/>
  </si>
  <si>
    <t>RES/WR06X4700FTL/470R/0603/75V/1%/1/10W/華新科</t>
  </si>
  <si>
    <t>RES/WR06X2001FTL/2K/0603/75V/1%/1/10W/華新科</t>
  </si>
  <si>
    <t>RES/WR06X5102FTL/51K/0603/75V/1%/1/10W/華新科</t>
  </si>
  <si>
    <t>RES/WR06X6493FTL/649K/0603/75V/1%/1/10W/華新科</t>
  </si>
  <si>
    <t>RES/WR06W2004FTL/2M/0603/75V/1%/1/10W/華新科</t>
  </si>
  <si>
    <t>RES/WR06X1302FTL/13K/0603/75V/1%/1/10W/華新科</t>
  </si>
  <si>
    <t>RES/WR06X3900FTL/390R/0603/75V/1%/1/10W/華新科</t>
  </si>
  <si>
    <t>RES/WR06X5601FTL/5.6K/0603/75V/1%/1/10W/華新科</t>
  </si>
  <si>
    <t>RES/WR06X1102FTL/11K/0603/75V/1%/1/10W/華新科</t>
  </si>
  <si>
    <t>RES/WR06X333JTL/33K/0603/75V/5%/1/10W/華新科</t>
  </si>
  <si>
    <t>RES/WR06X1502FTL/15K/0603/75V/1%/1/10W/華新科</t>
  </si>
  <si>
    <t>RES/WR06X3093FTL/309K/0603/75V/1%/1/10W/華新科</t>
  </si>
  <si>
    <t>RES/WR06X3742FTL/37.4K/0603/75V/1%/1/10W/華新科</t>
  </si>
  <si>
    <t>RES/WR06X47R0FTL/47R/0603/75V/1%/1/10W/華新科</t>
  </si>
  <si>
    <t>RES/WR06X1002FTL/10K/0603/75V/1%/1/10W/華新科</t>
  </si>
  <si>
    <t>RES/WR06X1004FTL/1M/0603/75V/1%/1/10W/華新科</t>
  </si>
  <si>
    <t>RES/WR06X104JTL/100K/0603/75V/5%/1/10W/華新科</t>
  </si>
  <si>
    <t>RES/WR06X472JTL/4.7K/0603/75V/5%/1/10W/華新科</t>
  </si>
  <si>
    <t>RES/WR06X154JTL/150K/0603/75V/5%/1/10W/華新科</t>
  </si>
  <si>
    <t>RES/WR06X394JTL/390K/0603/75V/5%/1/10W/華新科</t>
  </si>
  <si>
    <t>RES/WR06X5101FTL/5.1K/0603/75V/1%/1/10W/華新科</t>
  </si>
  <si>
    <t>RES/WR06X3322FTL/33.2K/0603/75V/1%/1/10W/華新科</t>
  </si>
  <si>
    <t>RES/WR06X7152FTL/71.5K/0603/75V/1%/1/10W/華新科</t>
  </si>
  <si>
    <t>RES/WR06X155JTL/1.5M/0603/75V/5%/1/10W/華新科</t>
  </si>
  <si>
    <t>RES/WR06W5104FTL/5.1M/0603/75V/1%/1/10W/華新科</t>
  </si>
  <si>
    <t>RES/WR06X2552FTL/25.5k/0603/75V/1%/1/10W/華新科</t>
  </si>
  <si>
    <t>RES/WR06X68R0FTL/68R/0603/75V/1%/1/10W/華新科</t>
  </si>
  <si>
    <t>RES/WR06X1433FTL/143K/0603/75V/1%/1/10W/華新科</t>
  </si>
  <si>
    <t>RES/WR06X1301FTL/1.3K/0603/75V/1%/1/10W/華新科</t>
  </si>
  <si>
    <t>RES/WR20X39R0FTL/39R/2010/200V/1%/1/4W以上/華新科</t>
  </si>
  <si>
    <t>RES/WR12X204JTL/200K/1206/200V/5%/1/4W以上/華新科</t>
  </si>
  <si>
    <t>RES/WR10X3301FTL/3.3K/1210/200V/1%/1/3W以上/華新科</t>
  </si>
  <si>
    <t>RES/WR25X6R8JTL/6.8R/2512/200V/5%/1W/華新科</t>
  </si>
  <si>
    <t>RES/FBF25FP-R033/33mR/2512/200V/1%/1W/信昌</t>
  </si>
  <si>
    <t>Cap/0.01uF/0603/50V/10%/華新科</t>
  </si>
  <si>
    <t>Cap/0.1uF/0603/50V/10%/華新科</t>
  </si>
  <si>
    <t>Cap/10uF/0603/10V/10%/華新科</t>
  </si>
  <si>
    <t>Cap/10uF/0603/25V/20%/華新科</t>
  </si>
  <si>
    <t>Cap/12PF/0603/50V/力德</t>
  </si>
  <si>
    <t>Cap/1uF/0603/16V/10%/力德</t>
  </si>
  <si>
    <t>Cap/1uF/0603/25V/10%/華新科</t>
  </si>
  <si>
    <t>Cap/3300pF/0603/50V/力德</t>
  </si>
  <si>
    <t>Cap/220nF/0603/50V/10%/力德</t>
  </si>
  <si>
    <t>Cap/0603X105K500CT/1uF/0603/50V/10%/華新科</t>
  </si>
  <si>
    <t>Cap/2.2uf/0805/25V/10%/力德</t>
  </si>
  <si>
    <t>Cap/10uf/0805/25V/10%/力德</t>
  </si>
  <si>
    <t>Cap/0.47uf/0805/25V/10%/華新科</t>
  </si>
  <si>
    <t>Cap/0805B225K500CT/2.2uf/0805/50V/10%/華新科</t>
  </si>
  <si>
    <t>Cap/CL21A226MAYNNNE/22uF/0805/25V/20%/三星</t>
  </si>
  <si>
    <t>Cap/10uF/1210/100V/X5R/10%/力德</t>
  </si>
  <si>
    <t>Cap/1206X226K160CT/22uF/1206/16V/10%/華新科</t>
  </si>
  <si>
    <t>N-MOS/2N7002/SOT-23-3(GSD)/60V/115mA/7.5ohmVth=2.1V/恩智浦</t>
  </si>
  <si>
    <t>N-MOS/AOSS32136C/SOT-23-3(GSD)/20V/6.5A/20ohmVth=0.85V/萬有</t>
  </si>
  <si>
    <t>N-MOS/DC3908Z/PPAK3X3/30V/48A/7.6mohmVth=1.6V/立捷</t>
  </si>
  <si>
    <t>N-MOS/PM9310NS/SOT-23-3(GSD)/100V/2A/190mohmVth=1.8V/立捷</t>
  </si>
  <si>
    <t>N-MOS/DMG3418L-7/SOT-23-3(GSD)/30V/4A/25ohmVth=1.5V/達爾</t>
  </si>
  <si>
    <t>N-MOS/NCEP020N10LL/TOLL=11/100V/330A/2 mOhm/Vth=10V/新潔能</t>
  </si>
  <si>
    <t>P-MOS/DMP3068L-7/SOT-23-3(GSD)/30V/3.9A/72mohmVth=1.3V/達爾</t>
  </si>
  <si>
    <t>Crystal Oscillators 晶體振盪器</t>
  </si>
  <si>
    <t>Crystal/D31-032768-BDRD4A/SMD/CL=12.5PF/32.768kHz/3.2x1.5mm/安碁</t>
  </si>
  <si>
    <t>Crystal/CXA-032000-3F8F23/3225/CL=10PF/32 MHz/3.2x2.5mm/安碁</t>
  </si>
  <si>
    <t>B1509A001</t>
    <phoneticPr fontId="1" type="noConversion"/>
  </si>
  <si>
    <t>B1510A001</t>
    <phoneticPr fontId="1" type="noConversion"/>
  </si>
  <si>
    <t>B1509A034</t>
    <phoneticPr fontId="1" type="noConversion"/>
  </si>
  <si>
    <t>B1511A002</t>
    <phoneticPr fontId="1" type="noConversion"/>
  </si>
  <si>
    <t>B1509A043</t>
    <phoneticPr fontId="1" type="noConversion"/>
  </si>
  <si>
    <t>B1509A021</t>
    <phoneticPr fontId="1" type="noConversion"/>
  </si>
  <si>
    <t>B1510A002</t>
    <phoneticPr fontId="1" type="noConversion"/>
  </si>
  <si>
    <t>B1509A006</t>
    <phoneticPr fontId="1" type="noConversion"/>
  </si>
  <si>
    <t>B1509A018</t>
    <phoneticPr fontId="1" type="noConversion"/>
  </si>
  <si>
    <t>B1509A007</t>
    <phoneticPr fontId="1" type="noConversion"/>
  </si>
  <si>
    <t>B1510A009</t>
    <phoneticPr fontId="1" type="noConversion"/>
  </si>
  <si>
    <t>B1511A001</t>
    <phoneticPr fontId="1" type="noConversion"/>
  </si>
  <si>
    <t>B1509A009</t>
    <phoneticPr fontId="1" type="noConversion"/>
  </si>
  <si>
    <t>B1509A015</t>
    <phoneticPr fontId="1" type="noConversion"/>
  </si>
  <si>
    <t>B1509A025</t>
    <phoneticPr fontId="1" type="noConversion"/>
  </si>
  <si>
    <t>B1510A010</t>
    <phoneticPr fontId="1" type="noConversion"/>
  </si>
  <si>
    <t>B1509A011</t>
    <phoneticPr fontId="1" type="noConversion"/>
  </si>
  <si>
    <t>B1510A007</t>
    <phoneticPr fontId="1" type="noConversion"/>
  </si>
  <si>
    <t>B1510A008</t>
    <phoneticPr fontId="1" type="noConversion"/>
  </si>
  <si>
    <t>B1509A031</t>
    <phoneticPr fontId="1" type="noConversion"/>
  </si>
  <si>
    <t>B1509A033</t>
    <phoneticPr fontId="1" type="noConversion"/>
  </si>
  <si>
    <t>B1510A006</t>
    <phoneticPr fontId="1" type="noConversion"/>
  </si>
  <si>
    <t>B1509A046</t>
    <phoneticPr fontId="1" type="noConversion"/>
  </si>
  <si>
    <t>B1509A003</t>
    <phoneticPr fontId="1" type="noConversion"/>
  </si>
  <si>
    <t>B1509A010</t>
    <phoneticPr fontId="1" type="noConversion"/>
  </si>
  <si>
    <t>B1509A013</t>
    <phoneticPr fontId="1" type="noConversion"/>
  </si>
  <si>
    <t>B1509A040</t>
    <phoneticPr fontId="1" type="noConversion"/>
  </si>
  <si>
    <t>B1509A038</t>
    <phoneticPr fontId="1" type="noConversion"/>
  </si>
  <si>
    <t>B1509A016</t>
    <phoneticPr fontId="1" type="noConversion"/>
  </si>
  <si>
    <t>B1509A017</t>
    <phoneticPr fontId="1" type="noConversion"/>
  </si>
  <si>
    <t>B1509A048</t>
    <phoneticPr fontId="1" type="noConversion"/>
  </si>
  <si>
    <t>B1515A001</t>
    <phoneticPr fontId="1" type="noConversion"/>
  </si>
  <si>
    <t>B1517A006</t>
    <phoneticPr fontId="1" type="noConversion"/>
  </si>
  <si>
    <t>B1517A011</t>
    <phoneticPr fontId="1" type="noConversion"/>
  </si>
  <si>
    <t>B1517A015</t>
    <phoneticPr fontId="1" type="noConversion"/>
  </si>
  <si>
    <t>B1517A025</t>
    <phoneticPr fontId="1" type="noConversion"/>
  </si>
  <si>
    <t>B1517A017</t>
    <phoneticPr fontId="1" type="noConversion"/>
  </si>
  <si>
    <t>B1517A013</t>
    <phoneticPr fontId="1" type="noConversion"/>
  </si>
  <si>
    <t>B1517A016</t>
    <phoneticPr fontId="1" type="noConversion"/>
  </si>
  <si>
    <t>B1517A020</t>
    <phoneticPr fontId="1" type="noConversion"/>
  </si>
  <si>
    <t>B1517A009</t>
    <phoneticPr fontId="1" type="noConversion"/>
  </si>
  <si>
    <t>B1519A002</t>
    <phoneticPr fontId="1" type="noConversion"/>
  </si>
  <si>
    <t>B1518A001</t>
    <phoneticPr fontId="1" type="noConversion"/>
  </si>
  <si>
    <t>B1517A005</t>
    <phoneticPr fontId="1" type="noConversion"/>
  </si>
  <si>
    <t>B1519A001</t>
    <phoneticPr fontId="1" type="noConversion"/>
  </si>
  <si>
    <t>B1526A001</t>
    <phoneticPr fontId="1" type="noConversion"/>
  </si>
  <si>
    <t>B1526A004</t>
    <phoneticPr fontId="1" type="noConversion"/>
  </si>
  <si>
    <t>B1524A003</t>
    <phoneticPr fontId="1" type="noConversion"/>
  </si>
  <si>
    <t>B1524A001</t>
    <phoneticPr fontId="1" type="noConversion"/>
  </si>
  <si>
    <t>B1525A004</t>
    <phoneticPr fontId="1" type="noConversion"/>
  </si>
  <si>
    <t>B1525A001</t>
    <phoneticPr fontId="1" type="noConversion"/>
  </si>
  <si>
    <t>B1525A003</t>
    <phoneticPr fontId="1" type="noConversion"/>
  </si>
  <si>
    <t>B1525A002</t>
    <phoneticPr fontId="1" type="noConversion"/>
  </si>
  <si>
    <t>B1525A007</t>
    <phoneticPr fontId="1" type="noConversion"/>
  </si>
  <si>
    <t>B1550A001</t>
    <phoneticPr fontId="1" type="noConversion"/>
  </si>
  <si>
    <t>B1550A004</t>
    <phoneticPr fontId="1" type="noConversion"/>
  </si>
  <si>
    <t>B1550A002</t>
    <phoneticPr fontId="1" type="noConversion"/>
  </si>
  <si>
    <t>B1550A003</t>
    <phoneticPr fontId="1" type="noConversion"/>
  </si>
  <si>
    <t>B1535A001</t>
    <phoneticPr fontId="1" type="noConversion"/>
  </si>
  <si>
    <t>B1535A004</t>
    <phoneticPr fontId="1" type="noConversion"/>
  </si>
  <si>
    <t>B1535A014</t>
    <phoneticPr fontId="1" type="noConversion"/>
  </si>
  <si>
    <t>B1536A003</t>
    <phoneticPr fontId="1" type="noConversion"/>
  </si>
  <si>
    <t>B1536A002</t>
    <phoneticPr fontId="1" type="noConversion"/>
  </si>
  <si>
    <t>B1536A001</t>
    <phoneticPr fontId="1" type="noConversion"/>
  </si>
  <si>
    <t>B1529A004</t>
    <phoneticPr fontId="1" type="noConversion"/>
  </si>
  <si>
    <t>B1529A005</t>
    <phoneticPr fontId="1" type="noConversion"/>
  </si>
  <si>
    <t>B1529A010</t>
    <phoneticPr fontId="1" type="noConversion"/>
  </si>
  <si>
    <t>B1551A001</t>
    <phoneticPr fontId="1" type="noConversion"/>
  </si>
  <si>
    <t>B1528A002</t>
    <phoneticPr fontId="1" type="noConversion"/>
  </si>
  <si>
    <t>B1542A001</t>
    <phoneticPr fontId="1" type="noConversion"/>
  </si>
  <si>
    <t>B1506A002</t>
    <phoneticPr fontId="1" type="noConversion"/>
  </si>
  <si>
    <t>B1500A002</t>
    <phoneticPr fontId="1" type="noConversion"/>
  </si>
  <si>
    <t>B1500A003</t>
    <phoneticPr fontId="1" type="noConversion"/>
  </si>
  <si>
    <t>B1501A001</t>
    <phoneticPr fontId="1" type="noConversion"/>
  </si>
  <si>
    <t>B1501A002</t>
    <phoneticPr fontId="1" type="noConversion"/>
  </si>
  <si>
    <t>B1501A003</t>
    <phoneticPr fontId="1" type="noConversion"/>
  </si>
  <si>
    <t>B1507A006</t>
    <phoneticPr fontId="1" type="noConversion"/>
  </si>
  <si>
    <t>B1507A009</t>
    <phoneticPr fontId="1" type="noConversion"/>
  </si>
  <si>
    <t>B1507A003</t>
    <phoneticPr fontId="1" type="noConversion"/>
  </si>
  <si>
    <t>B1507A008</t>
    <phoneticPr fontId="1" type="noConversion"/>
  </si>
  <si>
    <t>B1549A005</t>
    <phoneticPr fontId="1" type="noConversion"/>
  </si>
  <si>
    <t>B1549A001</t>
    <phoneticPr fontId="1" type="noConversion"/>
  </si>
  <si>
    <t>B1540A001</t>
    <phoneticPr fontId="1" type="noConversion"/>
  </si>
  <si>
    <t>B1554A003</t>
    <phoneticPr fontId="1" type="noConversion"/>
  </si>
  <si>
    <t>B1547A002</t>
    <phoneticPr fontId="1" type="noConversion"/>
  </si>
  <si>
    <t>B1544A002</t>
    <phoneticPr fontId="1" type="noConversion"/>
  </si>
  <si>
    <t>B1544A005</t>
    <phoneticPr fontId="1" type="noConversion"/>
  </si>
  <si>
    <t>B1544A011</t>
    <phoneticPr fontId="1" type="noConversion"/>
  </si>
  <si>
    <t>B1544A009</t>
    <phoneticPr fontId="1" type="noConversion"/>
  </si>
  <si>
    <t>B1544A010</t>
    <phoneticPr fontId="1" type="noConversion"/>
  </si>
  <si>
    <t>出庫</t>
  </si>
  <si>
    <t>維修</t>
  </si>
  <si>
    <t>維修</t>
    <phoneticPr fontId="1" type="noConversion"/>
  </si>
  <si>
    <t>雙極結晶體管-BJT</t>
  </si>
  <si>
    <t>NTC/EWTF03-103F3I-N/B3435/0603/10K/350 mW/唯勝</t>
  </si>
  <si>
    <t>R-Sense/FMF25FPJR001XBH/2512/2W/1mOhm/1%/4*7.3mm信昌</t>
  </si>
  <si>
    <t>R-Sense/FMF25FPJR002XBH/2mOhm/2512/1%/2W/信昌</t>
  </si>
  <si>
    <t>Diode/BAS45AL/SOD-323L/125V/250mA/晨興</t>
  </si>
  <si>
    <t>Diode/1N4148WS-FL/SOD-323FL/75V/150mA/美麗微</t>
  </si>
  <si>
    <t>TVS/SMBJ20A-Q/DO-214AA-2/20V/1mA/BOURNS柏恩</t>
  </si>
  <si>
    <t>TVS/SMCJ110A/DO-214AB-2/110 V/8.4 A/聚鼎</t>
  </si>
  <si>
    <t>Varistor/JVR10N220KT7P/2-DIP/22V/1mA/Φ 10 mm/7.5mm/久尹</t>
  </si>
  <si>
    <t>光耦合器</t>
  </si>
  <si>
    <t>Photocoupler/TLP3555A(TP1,F/DIP-4/5V/3A/550 mW/SMD/東芝</t>
  </si>
  <si>
    <t>Photocoupler/6N136S-TA1-L/8-SMD/20V/8mA/晨興</t>
  </si>
  <si>
    <t>特殊電感</t>
  </si>
  <si>
    <t>Inductance/PCMB104T-680MS/68 uH/22 A/2.7 mOhms/PSA</t>
  </si>
  <si>
    <t>Inductance/SDTI054T-4R7MS/4.7uH/5A/27mOhm/乾坤</t>
  </si>
  <si>
    <t>RTC/RX8130CE/SMD/3V/300nA/32.768kHz/3.2mm x 2.5mm/瑞澤</t>
  </si>
  <si>
    <r>
      <t>Cap/12PF/0603/50V/5%</t>
    </r>
    <r>
      <rPr>
        <sz val="12"/>
        <rFont val="新細明體"/>
        <family val="1"/>
        <charset val="136"/>
      </rPr>
      <t>力德</t>
    </r>
    <phoneticPr fontId="1" type="noConversion"/>
  </si>
  <si>
    <r>
      <t>Cap/18pF/0603/50V/5%/</t>
    </r>
    <r>
      <rPr>
        <sz val="12"/>
        <rFont val="新細明體"/>
        <family val="1"/>
        <charset val="136"/>
      </rPr>
      <t>華新科</t>
    </r>
    <phoneticPr fontId="1" type="noConversion"/>
  </si>
  <si>
    <r>
      <t>Cap/3300pF/0603/50V/10%</t>
    </r>
    <r>
      <rPr>
        <sz val="12"/>
        <rFont val="新細明體"/>
        <family val="1"/>
        <charset val="136"/>
      </rPr>
      <t>力德</t>
    </r>
    <phoneticPr fontId="1" type="noConversion"/>
  </si>
  <si>
    <r>
      <t>Cap/10PF/0603/50V/5%</t>
    </r>
    <r>
      <rPr>
        <sz val="12"/>
        <rFont val="新細明體"/>
        <family val="1"/>
        <charset val="136"/>
      </rPr>
      <t>力德</t>
    </r>
    <phoneticPr fontId="1" type="noConversion"/>
  </si>
  <si>
    <t>李洲</t>
  </si>
  <si>
    <t>LED/Green19-217-G7C-BK2L2VY-3T/0603/5V/25mA/577.5 nm/億光</t>
  </si>
  <si>
    <t>L-03K2D24WC11-01-T-A/3∮ 黃綠光/30mA/2V</t>
  </si>
  <si>
    <t>L-03R2D241C11-01-T-A/3∮ RED/30mA/2V</t>
  </si>
  <si>
    <t>LED/Red19-217-R6C-P1Q2-3T-V6/0603/5V/25mA/624 nm/億光</t>
  </si>
  <si>
    <t>Socket/Coin battery/796136-1/SMD/瑞澤</t>
  </si>
  <si>
    <t>Socket/MicroSD/CIM-H75N4/SMD/10V/0.5A/100mohm/13.7mm x 15.3mm瑞澤</t>
  </si>
  <si>
    <t>吋數</t>
    <phoneticPr fontId="1" type="noConversion"/>
  </si>
  <si>
    <t>儲位</t>
    <phoneticPr fontId="1" type="noConversion"/>
  </si>
  <si>
    <r>
      <rPr>
        <sz val="16"/>
        <rFont val="新細明體"/>
        <family val="1"/>
        <charset val="136"/>
      </rPr>
      <t>料號</t>
    </r>
    <phoneticPr fontId="1" type="noConversion"/>
  </si>
  <si>
    <t>7吋</t>
    <phoneticPr fontId="1" type="noConversion"/>
  </si>
  <si>
    <t>Magnetic Buzzer 有源蜂鳴器</t>
  </si>
  <si>
    <t>Buzzer/TMX090042F-05027/DIP-2-5mm/5V/30mA/80db/Φ9.0 x H4.2/嘉林</t>
  </si>
  <si>
    <t>DipSwitch/ADPS-03R-T/180deg-DIP-2x3/24V/25mA/50mohm/2.54mm/瑞澤</t>
  </si>
  <si>
    <t>Dip Switch/ADPS-06R-T/180deg-DIP-2x6/24V/25mA/100mohm/2.54mm/瑞澤</t>
  </si>
  <si>
    <t>Connector/RJ45/DIP180/20mA/VDC2.4/30mΩ/建倚</t>
  </si>
  <si>
    <t>Dip Switch/ADPS-06B-T/180deg-DIP-2x6/24V/25mA/100mohm/2.54mm/瑞澤</t>
  </si>
  <si>
    <t>Dip Switch/ADPA-08R-T/90deg-DIP-2x8/24V/25mA/100mohm/2.54mm/瑞澤</t>
  </si>
  <si>
    <t>PUSHBUTTON/TS-A02Z-3L 15mm/180deg/12V/50mA/100mohm/ /建倚</t>
  </si>
  <si>
    <t>PUSHBUTTON/TS-A02VB-3.4L 7mm/90deg/12V/50mA/100mohm/ /建倚</t>
  </si>
  <si>
    <t>B1544A001</t>
    <phoneticPr fontId="1" type="noConversion"/>
  </si>
  <si>
    <t>Wafer/CX-W250-10/10PIN/180deg-Dip/2.5mm/承洧</t>
  </si>
  <si>
    <t>Wafer/CX-W250-12/12PIN/180deg-Dip/2.5mm/承洧</t>
  </si>
  <si>
    <t>在庫量</t>
    <phoneticPr fontId="1" type="noConversion"/>
  </si>
  <si>
    <t>安全庫存</t>
    <phoneticPr fontId="1" type="noConversion"/>
  </si>
  <si>
    <t>SPQ</t>
    <phoneticPr fontId="1" type="noConversion"/>
  </si>
  <si>
    <t>B1544A027</t>
    <phoneticPr fontId="1" type="noConversion"/>
  </si>
  <si>
    <t>Wafer/CX-W250-06/6PIN/180deg-Dip/2.5mm/承洧</t>
  </si>
  <si>
    <t>Wafer/CX-W250-08/8PIN/180deg-Dip/2.5mm/承洧</t>
  </si>
  <si>
    <t>B1544A008</t>
    <phoneticPr fontId="1" type="noConversion"/>
  </si>
  <si>
    <t>Wafer/CX-W250-07/7PIN/180deg-Dip/2.5mm/承洧</t>
  </si>
  <si>
    <t>Wafer/CX-W250-04/4PIN/180deg-Dip/2.5mm/承洧</t>
  </si>
  <si>
    <t>B1544A003</t>
    <phoneticPr fontId="1" type="noConversion"/>
  </si>
  <si>
    <t>Wafer/CX-W250-03/3PIN/180deg-Dip/2.5mm/承洧</t>
  </si>
  <si>
    <t>Wafer/CX-W250-02/2PIN/180deg-Dip/2.5mm/承洧</t>
  </si>
  <si>
    <t>Wafer/6PIN/90deg-Dip/3.96mm/承洧</t>
  </si>
  <si>
    <t>B1544A023</t>
    <phoneticPr fontId="1" type="noConversion"/>
  </si>
  <si>
    <t>Wafer/6PIN/180deg-Dip/3.96mm/承洧</t>
  </si>
  <si>
    <t>Wafer/3PIN/180deg-Dip/3.96mm/承洧</t>
  </si>
  <si>
    <t>Wafer/3PIN/90deg-Dip/3.96mm/承洧</t>
  </si>
  <si>
    <t>Wafer/2PIN/180deg-Dip/3.96mm/承洧</t>
  </si>
  <si>
    <t>Wafer/2PIN/90deg-Dip/3.96mm/承洧</t>
  </si>
  <si>
    <t>B1517A032</t>
    <phoneticPr fontId="1" type="noConversion"/>
  </si>
  <si>
    <t>B1544A028</t>
    <phoneticPr fontId="1" type="noConversion"/>
  </si>
  <si>
    <t>Wafer/CX-W250-20/20PIN/180deg-Dip/2.5mm/承洧</t>
  </si>
  <si>
    <t>B1544A029</t>
    <phoneticPr fontId="1" type="noConversion"/>
  </si>
  <si>
    <t>Wafer/CX-W250-13/13PIN/180deg-Dip/2.5mm/承洧</t>
  </si>
  <si>
    <t>Wafer/CX-W250-09/9PIN/180deg-Dip/2.5mm/承洧</t>
  </si>
  <si>
    <t>Wafer/5PIN/180deg-Dip/2.5mm/承洧</t>
  </si>
  <si>
    <t>Cap/2.2uF/0603/50V/10%/華新科</t>
  </si>
  <si>
    <t>7吋</t>
  </si>
  <si>
    <t>B1517A002</t>
    <phoneticPr fontId="1" type="noConversion"/>
  </si>
  <si>
    <t>Cap/4.7uf/0805/25V/10%/力德</t>
  </si>
  <si>
    <t>RES/WR06W1005FTL/10M/0603/75V/1%/1/10W/華新科</t>
  </si>
  <si>
    <t>RES/WR06X105JTL/1M/0603/75V/5%/1/10W/華新科</t>
  </si>
  <si>
    <t>RES/WR06X4533FTL/453K/0603/75V/1%/1/10W/華新科</t>
  </si>
  <si>
    <t>RES/WF06H3303BTL/330K/0603/75V/0.1%/1/10W/華新科</t>
  </si>
  <si>
    <t>RES/WR06X2003FTL/200K/0603/75V/1%/1/10W/華新科</t>
  </si>
  <si>
    <t>RES/WR06X2203FTL/220K/0603/75V/1%/1/10W/華新科</t>
  </si>
  <si>
    <t>P-MOS/PM9353NS/SOT-23-3(GSD)/100V/850mA/644mohmVth=1.8V/立捷</t>
  </si>
  <si>
    <t>Cap/3300pF/0603/50V/10%力德</t>
  </si>
  <si>
    <t>Cap/470pF/0603/100V/5%/力德</t>
  </si>
  <si>
    <t>Cap/2200pF/0603/50V/10%/力德</t>
  </si>
  <si>
    <t>Cap/100pF/0603/100V/5%/華新科</t>
  </si>
  <si>
    <t>Cap/12PF/0603/50V/5%力德</t>
  </si>
  <si>
    <t>TVS/PMV0603-5R5E5R0/0603/5.5V/1mA/PTTC天巧</t>
  </si>
  <si>
    <t>Cap/4700pF/0603/50V/10%/力德</t>
  </si>
  <si>
    <t>Cap/10uF/1206/50V/10%/力德</t>
  </si>
  <si>
    <t>Cap/2.2uF/1206/100V/X7R/10%/力德</t>
  </si>
  <si>
    <t>Crystal/CXA-008000-5D7D40/SMD/CL=12PF/8MHz/5x3.2mm/安碁</t>
  </si>
  <si>
    <t>P-MOS/ZVP3310F/SOT-23-3GSD/100V/75mA/20ohmVth=3.5V/達爾</t>
  </si>
  <si>
    <t>RES/WR06X1200FTL/120R/0603/75V/1%/1/10W/華新科</t>
  </si>
  <si>
    <t>RES/WR06X510JTL/51R/0603/75V/5%/1/10W/華新科</t>
  </si>
  <si>
    <t>RES/WR06X1001FTL/1K/0603/75V/1%/1/10W/華新科</t>
  </si>
  <si>
    <t>RES/WR06X100JTL/10R/0603/75V/5%/1/10W/華新科</t>
  </si>
  <si>
    <t>RES/WR06X393JTL/39K/0603/75V/5%/1/10W/華新科</t>
  </si>
  <si>
    <t>RES/WR06X4992FTL/49.9K/0603/75V/1%/1/10W/華新科</t>
  </si>
  <si>
    <t>RES/WR06X222JTL/2.2K/0603/75V/5%/1/10W/華新科</t>
  </si>
  <si>
    <t>RES/WR06X4703FTL/470K/0603/75V/1%/1/10W/華新科</t>
  </si>
  <si>
    <t>13吋</t>
  </si>
  <si>
    <t>13吋</t>
    <phoneticPr fontId="1" type="noConversion"/>
  </si>
  <si>
    <t>N-MOS/DMT10H009SPS-13/PowerDI5060-8/100V/80 A/8.5 mOhm/Vth=2V/Diodes</t>
  </si>
  <si>
    <t>Common Mode Filters/ACT45B/SMD/50V/0.2A/1ohm/5.0mm x 3.4mm x2.8mm台灣東電化</t>
  </si>
  <si>
    <t>R-Sense/MCSS3920/3920/7W/0.5mOhm/1%/璦司柏</t>
  </si>
  <si>
    <t>B1500A004</t>
  </si>
  <si>
    <t>IC/BatteryManagement/BQ7693003DBTR/TSSOP-30/25V/40 uA/7.8mm*4.4mm/TI</t>
  </si>
  <si>
    <t>B1500A004</t>
    <phoneticPr fontId="1" type="noConversion"/>
  </si>
  <si>
    <t>非常規</t>
  </si>
  <si>
    <t>FUSE/CLM3820P5045/3820/VOP 43.7 ~ 62.0 Vdc/Irated 45A/Rheater 38.5 ~ 68.0/聚鼎</t>
  </si>
  <si>
    <t>Power Choke/SDTI054T-150MS/SMD/15uH/2A/79mohm/4.9mm x 4.9mm x 4.0mm乾坤</t>
  </si>
  <si>
    <t>PUSHBUTTON/TSSA-3L 8mm/PB10-SMD/12V/50mA/200mohm/6x6mm/華傑</t>
  </si>
  <si>
    <t>B1501A006</t>
  </si>
  <si>
    <t>B1501A006</t>
    <phoneticPr fontId="1" type="noConversion"/>
  </si>
  <si>
    <t>Communication IC</t>
    <phoneticPr fontId="1" type="noConversion"/>
  </si>
  <si>
    <t>IC/RS-232/MAX232EIPWR/TSSOP16/TI</t>
    <phoneticPr fontId="1" type="noConversion"/>
  </si>
  <si>
    <t>B1502A003</t>
  </si>
  <si>
    <t>IC/Battery Management/S-8215AAV-K8T2U/TMSOP-8/OCV4.3V/ABLIC</t>
    <phoneticPr fontId="1" type="noConversion"/>
  </si>
  <si>
    <t>B1509A084</t>
    <phoneticPr fontId="1" type="noConversion"/>
  </si>
  <si>
    <t>RES/RC0603FR-0751KL/51K/0603/75V/1%/1/10W/YAGEO</t>
  </si>
  <si>
    <t>B1509A085</t>
  </si>
  <si>
    <t>B1509A086</t>
  </si>
  <si>
    <r>
      <t>RES/WR06X106JTR/10M/0603/75V/5%/1/10W/</t>
    </r>
    <r>
      <rPr>
        <sz val="12"/>
        <rFont val="細明體"/>
        <family val="2"/>
        <charset val="136"/>
      </rPr>
      <t>華新科</t>
    </r>
    <phoneticPr fontId="1" type="noConversion"/>
  </si>
  <si>
    <r>
      <t>RES/WR06W1504FTL/1.5M/0603/50V/1%/1/10W/</t>
    </r>
    <r>
      <rPr>
        <sz val="12"/>
        <rFont val="細明體"/>
        <family val="3"/>
        <charset val="136"/>
      </rPr>
      <t>華新科</t>
    </r>
  </si>
  <si>
    <t>B1529A012</t>
  </si>
  <si>
    <r>
      <t>FUSE/SMFF2410P1000/2410/125VDC/10A//</t>
    </r>
    <r>
      <rPr>
        <sz val="12"/>
        <rFont val="細明體"/>
        <family val="3"/>
        <charset val="136"/>
      </rPr>
      <t>聚鼎</t>
    </r>
  </si>
  <si>
    <t>B1532A004</t>
  </si>
  <si>
    <r>
      <t xml:space="preserve">N-MOS/IMN009N10T/TOLL-8L/100V </t>
    </r>
    <r>
      <rPr>
        <sz val="12"/>
        <rFont val="細明體"/>
        <family val="3"/>
        <charset val="136"/>
      </rPr>
      <t>廣閎</t>
    </r>
  </si>
  <si>
    <t>B1532A005</t>
  </si>
  <si>
    <t>B1532A006</t>
  </si>
  <si>
    <r>
      <t>N-MOS/IMN012N10T/TOLL-8L/100V/</t>
    </r>
    <r>
      <rPr>
        <sz val="12"/>
        <rFont val="細明體"/>
        <family val="3"/>
        <charset val="136"/>
      </rPr>
      <t>廣閎</t>
    </r>
  </si>
  <si>
    <r>
      <t>N-MOS/IMN035N15T/150V/</t>
    </r>
    <r>
      <rPr>
        <sz val="12"/>
        <rFont val="細明體"/>
        <family val="3"/>
        <charset val="136"/>
      </rPr>
      <t>廣閎</t>
    </r>
  </si>
  <si>
    <t>B1532A004</t>
    <phoneticPr fontId="1" type="noConversion"/>
  </si>
  <si>
    <t>在庫</t>
    <phoneticPr fontId="1" type="noConversion"/>
  </si>
  <si>
    <t>N-MOS/IMN009N10T/TOLL-8L/100V 廣閎</t>
  </si>
  <si>
    <t>N-MOS/IMN035N15T/150V/廣閎</t>
  </si>
  <si>
    <t>Vdr</t>
    <phoneticPr fontId="1" type="noConversion"/>
  </si>
  <si>
    <t>Unit Price</t>
    <phoneticPr fontId="1" type="noConversion"/>
  </si>
  <si>
    <t>B1544A045</t>
    <phoneticPr fontId="1" type="noConversion"/>
  </si>
  <si>
    <r>
      <t>13</t>
    </r>
    <r>
      <rPr>
        <sz val="11"/>
        <color theme="1"/>
        <rFont val="新細明體"/>
        <family val="2"/>
      </rPr>
      <t>吋</t>
    </r>
    <phoneticPr fontId="1" type="noConversion"/>
  </si>
  <si>
    <r>
      <t>7</t>
    </r>
    <r>
      <rPr>
        <sz val="11"/>
        <color theme="1"/>
        <rFont val="新細明體"/>
        <family val="2"/>
      </rPr>
      <t>吋</t>
    </r>
    <phoneticPr fontId="1" type="noConversion"/>
  </si>
  <si>
    <r>
      <rPr>
        <sz val="11"/>
        <color theme="1"/>
        <rFont val="新細明體"/>
        <family val="2"/>
      </rPr>
      <t>非常規</t>
    </r>
    <phoneticPr fontId="1" type="noConversion"/>
  </si>
  <si>
    <r>
      <rPr>
        <sz val="11"/>
        <color theme="1"/>
        <rFont val="新細明體"/>
        <family val="2"/>
      </rPr>
      <t>非常規</t>
    </r>
  </si>
  <si>
    <r>
      <rPr>
        <sz val="11"/>
        <color theme="1"/>
        <rFont val="新細明體"/>
        <family val="2"/>
      </rPr>
      <t>承洧</t>
    </r>
  </si>
  <si>
    <t>B1532A006</t>
    <phoneticPr fontId="1" type="noConversion"/>
  </si>
  <si>
    <t>B1509A062</t>
    <phoneticPr fontId="1" type="noConversion"/>
  </si>
  <si>
    <t>內容</t>
    <phoneticPr fontId="1" type="noConversion"/>
  </si>
  <si>
    <t>2024/6/24
~
2024/6/28</t>
    <phoneticPr fontId="1" type="noConversion"/>
  </si>
  <si>
    <t>2024/7/1
~
2024/07/05</t>
    <phoneticPr fontId="1" type="noConversion"/>
  </si>
  <si>
    <t>2024/7/8
~
2024/07/12</t>
    <phoneticPr fontId="1" type="noConversion"/>
  </si>
  <si>
    <t>2024/7/15
~
2024/07/19</t>
    <phoneticPr fontId="1" type="noConversion"/>
  </si>
  <si>
    <t>2024/7/22
~
2024/07/25</t>
    <phoneticPr fontId="1" type="noConversion"/>
  </si>
  <si>
    <t>1.導入出入庫(History)、庫存(資料庫)。
2.建立"清除表單"、刷槍寫入概。
3.驗證料號第一碼為大寫"B"、2~3碼為"15"。
4.自動帶出相關資料後寫回資料庫做為History。</t>
    <phoneticPr fontId="1" type="noConversion"/>
  </si>
  <si>
    <t>1.建立基礎介面、排版。
2.發想出入庫、庫存架構。</t>
    <phoneticPr fontId="1" type="noConversion"/>
  </si>
  <si>
    <t>1.發想&amp;導入智能料架功能。
2.產生儲位功能並驗證。
3.判定料卷尺寸產生存儲位置。</t>
    <phoneticPr fontId="1" type="noConversion"/>
  </si>
  <si>
    <t>1.導入 Compare 庫餘比對。
2.導入 PR 缺料採購。
3.Debug判斷式</t>
    <phoneticPr fontId="1" type="noConversion"/>
  </si>
  <si>
    <t>力德</t>
    <phoneticPr fontId="1" type="noConversion"/>
  </si>
  <si>
    <r>
      <rPr>
        <b/>
        <sz val="16"/>
        <rFont val="新細明體"/>
        <family val="1"/>
        <charset val="136"/>
      </rPr>
      <t>料號</t>
    </r>
    <phoneticPr fontId="1" type="noConversion"/>
  </si>
  <si>
    <r>
      <rPr>
        <b/>
        <sz val="16"/>
        <rFont val="Times New Roman"/>
        <family val="1"/>
      </rPr>
      <t>品</t>
    </r>
    <r>
      <rPr>
        <b/>
        <sz val="16"/>
        <rFont val="Calibri"/>
        <family val="2"/>
      </rPr>
      <t xml:space="preserve">     </t>
    </r>
    <r>
      <rPr>
        <b/>
        <sz val="16"/>
        <rFont val="Times New Roman"/>
        <family val="1"/>
      </rPr>
      <t>名</t>
    </r>
  </si>
  <si>
    <r>
      <rPr>
        <b/>
        <sz val="16"/>
        <rFont val="Times New Roman"/>
        <family val="1"/>
      </rPr>
      <t>規</t>
    </r>
    <r>
      <rPr>
        <b/>
        <sz val="16"/>
        <rFont val="Calibri"/>
        <family val="2"/>
      </rPr>
      <t xml:space="preserve">     </t>
    </r>
    <r>
      <rPr>
        <b/>
        <sz val="16"/>
        <rFont val="Times New Roman"/>
        <family val="1"/>
      </rPr>
      <t>格</t>
    </r>
  </si>
  <si>
    <r>
      <rPr>
        <b/>
        <sz val="16"/>
        <rFont val="新細明體"/>
        <family val="1"/>
        <charset val="136"/>
      </rPr>
      <t>組成用量</t>
    </r>
    <phoneticPr fontId="1" type="noConversion"/>
  </si>
  <si>
    <r>
      <rPr>
        <b/>
        <sz val="16"/>
        <rFont val="新細明體"/>
        <family val="2"/>
        <charset val="136"/>
      </rPr>
      <t>在庫量</t>
    </r>
    <phoneticPr fontId="1" type="noConversion"/>
  </si>
  <si>
    <r>
      <rPr>
        <b/>
        <sz val="16"/>
        <color rgb="FF000000"/>
        <rFont val="細明體"/>
        <family val="2"/>
        <charset val="136"/>
      </rPr>
      <t>庫餘</t>
    </r>
    <phoneticPr fontId="1" type="noConversion"/>
  </si>
  <si>
    <t>1.導入 建立料號 功能寫入資料庫並驗證資料。
2.導入 查詢功能 Debug條件。
3.發想 庫餘、請購架構。</t>
    <phoneticPr fontId="1" type="noConversion"/>
  </si>
  <si>
    <t>町洋</t>
  </si>
  <si>
    <r>
      <t>DipSwitch/ADPS-03R-T/180deg-DIP-2x3/24V/25mA/50mohm/2.54mm/</t>
    </r>
    <r>
      <rPr>
        <sz val="12"/>
        <rFont val="新細明體"/>
        <family val="1"/>
        <charset val="136"/>
      </rPr>
      <t>瑞澤</t>
    </r>
    <phoneticPr fontId="1" type="noConversion"/>
  </si>
  <si>
    <t>瑞澤</t>
  </si>
  <si>
    <r>
      <t>Connector/RJ45/DIP180/20mA/VDC2.4/30mΩ/</t>
    </r>
    <r>
      <rPr>
        <sz val="12"/>
        <rFont val="新細明體"/>
        <family val="1"/>
        <charset val="136"/>
      </rPr>
      <t>建倚</t>
    </r>
    <phoneticPr fontId="1" type="noConversion"/>
  </si>
  <si>
    <t>建倚</t>
  </si>
  <si>
    <t>Connector/WRJ5-1*2FPBDR/DIP90/1.5AMP/125VAC/30mΩ/WISCONN</t>
    <phoneticPr fontId="1" type="noConversion"/>
  </si>
  <si>
    <t>WISCONN</t>
  </si>
  <si>
    <t>BJT/PNP/MMBT2907A/SOT-23-3/VCO -60V/IC - 600 mA/SECOS</t>
    <phoneticPr fontId="1" type="noConversion"/>
  </si>
  <si>
    <t>SECOS</t>
  </si>
  <si>
    <r>
      <t>USB3.1/TYPE C/TC065-A5A020/24PIN FEMALE/H=15mm SMT/</t>
    </r>
    <r>
      <rPr>
        <sz val="12"/>
        <rFont val="新細明體"/>
        <family val="1"/>
        <charset val="136"/>
      </rPr>
      <t>和潤興</t>
    </r>
    <phoneticPr fontId="1" type="noConversion"/>
  </si>
  <si>
    <t>和潤興</t>
  </si>
  <si>
    <t>BJT/PNP/MMBT3906/SOT-23-3/VCO -40V/IC - 200 mA/Nexperia</t>
    <phoneticPr fontId="1" type="noConversion"/>
  </si>
  <si>
    <t>Nexperia</t>
  </si>
  <si>
    <t>Crystal/FK0800019Q/SMD/SMT/CL=15PF/8 MHz/3.2x2.5mm/Diodes Incorporated</t>
    <phoneticPr fontId="1" type="noConversion"/>
  </si>
  <si>
    <t>安碁</t>
  </si>
  <si>
    <t>Inductance/MCS1040-100MN1/68uH/7.5A/30mOhms/PDC</t>
    <phoneticPr fontId="1" type="noConversion"/>
  </si>
  <si>
    <r>
      <t>FIXED IND/CMLB136T-470MS/47uH/4.5A/88 OHM SMD/</t>
    </r>
    <r>
      <rPr>
        <sz val="12"/>
        <rFont val="新細明體"/>
        <family val="1"/>
        <charset val="136"/>
      </rPr>
      <t>乾坤</t>
    </r>
    <phoneticPr fontId="1" type="noConversion"/>
  </si>
  <si>
    <r>
      <t xml:space="preserve">Header/Male/2x8 </t>
    </r>
    <r>
      <rPr>
        <sz val="12"/>
        <rFont val="新細明體"/>
        <family val="1"/>
        <charset val="136"/>
      </rPr>
      <t>雙排</t>
    </r>
    <r>
      <rPr>
        <sz val="12"/>
        <rFont val="Calibri"/>
        <family val="2"/>
      </rPr>
      <t>/DIP/180deg/2.54mm/P201-SGN-060/030-16/</t>
    </r>
    <r>
      <rPr>
        <sz val="12"/>
        <rFont val="新細明體"/>
        <family val="1"/>
        <charset val="136"/>
      </rPr>
      <t>承洧</t>
    </r>
    <phoneticPr fontId="1" type="noConversion"/>
  </si>
  <si>
    <t>承洧</t>
  </si>
  <si>
    <t>承洧</t>
    <phoneticPr fontId="1" type="noConversion"/>
  </si>
  <si>
    <r>
      <t>N-MOS/AP2344GN-HF/SOT-23-3(GSD)/20V/6.4A/22mohm/Vth=max1V/</t>
    </r>
    <r>
      <rPr>
        <sz val="12"/>
        <rFont val="新細明體"/>
        <family val="1"/>
        <charset val="136"/>
      </rPr>
      <t>晶偉</t>
    </r>
    <phoneticPr fontId="1" type="noConversion"/>
  </si>
  <si>
    <t>晶偉</t>
  </si>
  <si>
    <t>N-MOS/DMN13H750S/SOT-23-3/130V/2A/41mOhm/Vth=4V/Diodes</t>
    <phoneticPr fontId="1" type="noConversion"/>
  </si>
  <si>
    <t>Diodes</t>
  </si>
  <si>
    <t>Diodes</t>
    <phoneticPr fontId="1" type="noConversion"/>
  </si>
  <si>
    <r>
      <t>N-MOS/PM9310NS/SOT-23-3(GSD)/100V/2A/190mohmVth=1.8V/</t>
    </r>
    <r>
      <rPr>
        <sz val="12"/>
        <rFont val="新細明體"/>
        <family val="1"/>
        <charset val="136"/>
      </rPr>
      <t>立捷</t>
    </r>
    <phoneticPr fontId="1" type="noConversion"/>
  </si>
  <si>
    <t>立捷</t>
  </si>
  <si>
    <t>廣閎</t>
  </si>
  <si>
    <r>
      <t>FUSE/CLM3820P2030/3820/14~23.4Vdc/30A/</t>
    </r>
    <r>
      <rPr>
        <sz val="12"/>
        <rFont val="新細明體"/>
        <family val="1"/>
        <charset val="136"/>
      </rPr>
      <t>黑色</t>
    </r>
    <r>
      <rPr>
        <sz val="12"/>
        <rFont val="Calibri"/>
        <family val="2"/>
      </rPr>
      <t>/</t>
    </r>
    <r>
      <rPr>
        <sz val="12"/>
        <rFont val="新細明體"/>
        <family val="1"/>
        <charset val="136"/>
      </rPr>
      <t>唯勝</t>
    </r>
    <phoneticPr fontId="1" type="noConversion"/>
  </si>
  <si>
    <t>唯勝</t>
  </si>
  <si>
    <t>Diode/DFLS1100/100V/1A/DIODES</t>
    <phoneticPr fontId="1" type="noConversion"/>
  </si>
  <si>
    <r>
      <t xml:space="preserve">IC/Battery Management/S-8215AAU-K8T2U/TMSOP-8/3.75V/400uA/650 mW/ABLIC </t>
    </r>
    <r>
      <rPr>
        <sz val="12"/>
        <rFont val="新細明體"/>
        <family val="1"/>
        <charset val="136"/>
      </rPr>
      <t>澧村</t>
    </r>
    <phoneticPr fontId="1" type="noConversion"/>
  </si>
  <si>
    <t>澧村</t>
  </si>
  <si>
    <t>IC/Buck/AP64500/SO-8EP/3.8V-40V/5A/5.9mm*4.85mm/Diodes</t>
    <phoneticPr fontId="1" type="noConversion"/>
  </si>
  <si>
    <t>B1517A008</t>
    <phoneticPr fontId="1" type="noConversion"/>
  </si>
  <si>
    <t>Connector</t>
    <phoneticPr fontId="1" type="noConversion"/>
  </si>
  <si>
    <r>
      <t>Wafer/CHEB200S030-CF10043/2*15PIN/180deg-Dip/2.0mm/</t>
    </r>
    <r>
      <rPr>
        <sz val="12"/>
        <rFont val="微軟正黑體"/>
        <family val="2"/>
        <charset val="136"/>
      </rPr>
      <t>承洧</t>
    </r>
    <phoneticPr fontId="1" type="noConversion"/>
  </si>
  <si>
    <t>B1566A066</t>
  </si>
  <si>
    <t>AA</t>
  </si>
  <si>
    <t>BB</t>
  </si>
  <si>
    <t>TSMC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</si>
</sst>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[Red]\(0\)"/>
    <numFmt numFmtId="178" formatCode="0_ ;[Red]\-0\ "/>
  </numFmts>
  <fonts count="29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6"/>
      <name val="新細明體"/>
      <family val="1"/>
      <charset val="136"/>
    </font>
    <font>
      <sz val="16"/>
      <name val="Calibri"/>
      <family val="2"/>
    </font>
    <font>
      <sz val="12"/>
      <name val="Calibri"/>
      <family val="2"/>
    </font>
    <font>
      <sz val="11"/>
      <color theme="1"/>
      <name val="Calibri"/>
      <family val="2"/>
    </font>
    <font>
      <sz val="16"/>
      <color theme="1"/>
      <name val="新細明體"/>
      <family val="2"/>
      <scheme val="minor"/>
    </font>
    <font>
      <sz val="16"/>
      <color theme="1"/>
      <name val="新細明體"/>
      <family val="1"/>
      <charset val="136"/>
      <scheme val="minor"/>
    </font>
    <font>
      <sz val="12"/>
      <name val="細明體"/>
      <family val="3"/>
      <charset val="136"/>
    </font>
    <font>
      <sz val="12"/>
      <color theme="1"/>
      <name val="Calibri"/>
      <family val="2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20"/>
      <color theme="1"/>
      <name val="Calibri"/>
      <family val="2"/>
    </font>
    <font>
      <sz val="12"/>
      <name val="細明體"/>
      <family val="2"/>
      <charset val="136"/>
    </font>
    <font>
      <sz val="11"/>
      <color theme="1"/>
      <name val="新細明體"/>
      <family val="2"/>
    </font>
    <font>
      <sz val="11"/>
      <color theme="0"/>
      <name val="新細明體"/>
      <family val="2"/>
      <scheme val="minor"/>
    </font>
    <font>
      <b/>
      <sz val="16"/>
      <name val="Calibri"/>
      <family val="2"/>
    </font>
    <font>
      <b/>
      <sz val="16"/>
      <name val="新細明體"/>
      <family val="1"/>
      <charset val="136"/>
    </font>
    <font>
      <b/>
      <sz val="20"/>
      <color theme="1"/>
      <name val="新細明體"/>
      <family val="1"/>
      <charset val="136"/>
      <scheme val="minor"/>
    </font>
    <font>
      <sz val="11"/>
      <color theme="1"/>
      <name val="細明體"/>
      <family val="3"/>
      <charset val="136"/>
    </font>
    <font>
      <sz val="11"/>
      <color theme="1"/>
      <name val="細明體"/>
      <family val="2"/>
      <charset val="136"/>
    </font>
    <font>
      <b/>
      <sz val="16"/>
      <name val="Times New Roman"/>
      <family val="1"/>
    </font>
    <font>
      <b/>
      <sz val="16"/>
      <name val="新細明體"/>
      <family val="2"/>
      <charset val="136"/>
    </font>
    <font>
      <b/>
      <sz val="16"/>
      <color rgb="FF000000"/>
      <name val="Calibri"/>
      <family val="2"/>
    </font>
    <font>
      <b/>
      <sz val="16"/>
      <color rgb="FF000000"/>
      <name val="細明體"/>
      <family val="2"/>
      <charset val="136"/>
    </font>
    <font>
      <b/>
      <sz val="16"/>
      <color theme="1"/>
      <name val="Calibri"/>
      <family val="2"/>
    </font>
    <font>
      <sz val="12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4" borderId="0" xfId="0" applyFill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9" fontId="6" fillId="0" borderId="5" xfId="0" applyNumberFormat="1" applyFont="1" applyBorder="1" applyAlignment="1">
      <alignment horizontal="center" vertical="center"/>
    </xf>
    <xf numFmtId="49" fontId="6" fillId="0" borderId="6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/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49" fontId="5" fillId="0" borderId="4" xfId="0" applyNumberFormat="1" applyFont="1" applyBorder="1" applyAlignment="1">
      <alignment horizontal="left" vertical="center" indent="1"/>
    </xf>
    <xf numFmtId="0" fontId="0" fillId="6" borderId="0" xfId="0" applyFill="1" applyAlignment="1">
      <alignment horizontal="center" vertical="center"/>
    </xf>
    <xf numFmtId="49" fontId="0" fillId="0" borderId="2" xfId="0" applyNumberFormat="1" applyFont="1" applyBorder="1" applyAlignment="1">
      <alignment horizontal="center"/>
    </xf>
    <xf numFmtId="0" fontId="7" fillId="0" borderId="0" xfId="0" applyFont="1"/>
    <xf numFmtId="0" fontId="6" fillId="0" borderId="2" xfId="0" applyFont="1" applyFill="1" applyBorder="1" applyAlignment="1">
      <alignment horizontal="center" vertical="center"/>
    </xf>
    <xf numFmtId="177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177" fontId="6" fillId="0" borderId="0" xfId="0" applyNumberFormat="1" applyFont="1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49" fontId="6" fillId="0" borderId="9" xfId="0" applyNumberFormat="1" applyFont="1" applyBorder="1" applyAlignment="1">
      <alignment horizontal="center" vertical="center"/>
    </xf>
    <xf numFmtId="0" fontId="7" fillId="0" borderId="6" xfId="0" applyNumberFormat="1" applyFont="1" applyBorder="1" applyAlignment="1">
      <alignment horizontal="center" vertical="center"/>
    </xf>
    <xf numFmtId="178" fontId="11" fillId="0" borderId="2" xfId="0" applyNumberFormat="1" applyFont="1" applyBorder="1" applyAlignment="1">
      <alignment horizontal="center" vertical="center"/>
    </xf>
    <xf numFmtId="178" fontId="11" fillId="0" borderId="0" xfId="0" applyNumberFormat="1" applyFont="1" applyAlignment="1">
      <alignment horizontal="center"/>
    </xf>
    <xf numFmtId="178" fontId="6" fillId="0" borderId="2" xfId="0" applyNumberFormat="1" applyFont="1" applyFill="1" applyBorder="1" applyAlignment="1">
      <alignment horizontal="center" vertical="center"/>
    </xf>
    <xf numFmtId="178" fontId="6" fillId="0" borderId="0" xfId="0" applyNumberFormat="1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0" fillId="0" borderId="2" xfId="0" applyFont="1" applyBorder="1" applyAlignment="1">
      <alignment horizontal="center" vertical="center"/>
    </xf>
    <xf numFmtId="49" fontId="22" fillId="0" borderId="2" xfId="0" applyNumberFormat="1" applyFont="1" applyBorder="1" applyAlignment="1">
      <alignment horizontal="center" vertical="center"/>
    </xf>
    <xf numFmtId="177" fontId="6" fillId="6" borderId="2" xfId="0" applyNumberFormat="1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177" fontId="6" fillId="6" borderId="2" xfId="0" applyNumberFormat="1" applyFont="1" applyFill="1" applyBorder="1" applyAlignment="1">
      <alignment horizontal="center"/>
    </xf>
    <xf numFmtId="177" fontId="6" fillId="6" borderId="0" xfId="0" applyNumberFormat="1" applyFont="1" applyFill="1" applyAlignment="1">
      <alignment horizontal="center"/>
    </xf>
    <xf numFmtId="49" fontId="6" fillId="6" borderId="2" xfId="0" applyNumberFormat="1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0" fontId="18" fillId="6" borderId="2" xfId="0" applyFont="1" applyFill="1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/>
    </xf>
    <xf numFmtId="178" fontId="18" fillId="0" borderId="2" xfId="0" applyNumberFormat="1" applyFont="1" applyFill="1" applyBorder="1" applyAlignment="1">
      <alignment horizontal="center" vertical="center"/>
    </xf>
    <xf numFmtId="178" fontId="25" fillId="0" borderId="2" xfId="0" applyNumberFormat="1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177" fontId="18" fillId="0" borderId="2" xfId="0" applyNumberFormat="1" applyFont="1" applyFill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176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4" fontId="0" fillId="6" borderId="0" xfId="0" applyNumberForma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14" fontId="0" fillId="0" borderId="6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center" vertical="center" wrapText="1"/>
    </xf>
  </cellXfs>
  <cellStyles count="1">
    <cellStyle name="一般" xfId="0" builtinId="0"/>
  </cellStyles>
  <dxfs count="36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新細明體"/>
        <family val="1"/>
        <charset val="136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427406</xdr:colOff>
      <xdr:row>3</xdr:row>
      <xdr:rowOff>156307</xdr:rowOff>
    </xdr:from>
    <xdr:to>
      <xdr:col>2</xdr:col>
      <xdr:colOff>703819</xdr:colOff>
      <xdr:row>5</xdr:row>
      <xdr:rowOff>212337</xdr:rowOff>
    </xdr:to>
    <xdr:sp macro="[0]!清除" textlink="">
      <xdr:nvSpPr>
        <xdr:cNvPr id="2" name="矩形: 圓角 1">
          <a:extLst>
            <a:ext uri="{FF2B5EF4-FFF2-40B4-BE49-F238E27FC236}">
              <a16:creationId xmlns:a16="http://schemas.microsoft.com/office/drawing/2014/main" id="{6F3C0695-C05F-4673-B0BD-5A509252FEAA}"/>
            </a:ext>
          </a:extLst>
        </xdr:cNvPr>
        <xdr:cNvSpPr/>
      </xdr:nvSpPr>
      <xdr:spPr>
        <a:xfrm>
          <a:off x="1037983" y="591038"/>
          <a:ext cx="1180067" cy="43703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chemeClr val="bg1"/>
              </a:solidFill>
            </a:rPr>
            <a:t>清除</a:t>
          </a:r>
        </a:p>
      </xdr:txBody>
    </xdr:sp>
    <xdr:clientData/>
  </xdr:twoCellAnchor>
  <xdr:twoCellAnchor>
    <xdr:from>
      <xdr:col>1</xdr:col>
      <xdr:colOff>418993</xdr:colOff>
      <xdr:row>7</xdr:row>
      <xdr:rowOff>163550</xdr:rowOff>
    </xdr:from>
    <xdr:to>
      <xdr:col>2</xdr:col>
      <xdr:colOff>695406</xdr:colOff>
      <xdr:row>9</xdr:row>
      <xdr:rowOff>215377</xdr:rowOff>
    </xdr:to>
    <xdr:sp macro="[0]!出入庫" textlink="">
      <xdr:nvSpPr>
        <xdr:cNvPr id="5" name="矩形: 圓角 4">
          <a:extLst>
            <a:ext uri="{FF2B5EF4-FFF2-40B4-BE49-F238E27FC236}">
              <a16:creationId xmlns:a16="http://schemas.microsoft.com/office/drawing/2014/main" id="{E5239B06-1D63-4422-BDCF-2DD735B74E52}"/>
            </a:ext>
          </a:extLst>
        </xdr:cNvPr>
        <xdr:cNvSpPr/>
      </xdr:nvSpPr>
      <xdr:spPr>
        <a:xfrm>
          <a:off x="1029570" y="1360281"/>
          <a:ext cx="1180067" cy="43282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/>
            <a:t>出入庫</a:t>
          </a:r>
        </a:p>
      </xdr:txBody>
    </xdr:sp>
    <xdr:clientData/>
  </xdr:twoCellAnchor>
  <xdr:twoCellAnchor>
    <xdr:from>
      <xdr:col>1</xdr:col>
      <xdr:colOff>435818</xdr:colOff>
      <xdr:row>11</xdr:row>
      <xdr:rowOff>166590</xdr:rowOff>
    </xdr:from>
    <xdr:to>
      <xdr:col>2</xdr:col>
      <xdr:colOff>712231</xdr:colOff>
      <xdr:row>13</xdr:row>
      <xdr:rowOff>222619</xdr:rowOff>
    </xdr:to>
    <xdr:sp macro="[0]!儲位" textlink="">
      <xdr:nvSpPr>
        <xdr:cNvPr id="10" name="矩形: 圓角 9">
          <a:extLst>
            <a:ext uri="{FF2B5EF4-FFF2-40B4-BE49-F238E27FC236}">
              <a16:creationId xmlns:a16="http://schemas.microsoft.com/office/drawing/2014/main" id="{1DEA2FF9-A0A3-498D-823B-67F6A9137A92}"/>
            </a:ext>
          </a:extLst>
        </xdr:cNvPr>
        <xdr:cNvSpPr/>
      </xdr:nvSpPr>
      <xdr:spPr>
        <a:xfrm>
          <a:off x="1046395" y="2125321"/>
          <a:ext cx="1180067" cy="437029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rgbClr val="FF0000"/>
              </a:solidFill>
            </a:rPr>
            <a:t>儲位</a:t>
          </a:r>
        </a:p>
      </xdr:txBody>
    </xdr:sp>
    <xdr:clientData/>
  </xdr:twoCellAnchor>
  <xdr:twoCellAnchor>
    <xdr:from>
      <xdr:col>8</xdr:col>
      <xdr:colOff>537882</xdr:colOff>
      <xdr:row>0</xdr:row>
      <xdr:rowOff>164353</xdr:rowOff>
    </xdr:from>
    <xdr:to>
      <xdr:col>14</xdr:col>
      <xdr:colOff>552823</xdr:colOff>
      <xdr:row>3</xdr:row>
      <xdr:rowOff>165472</xdr:rowOff>
    </xdr:to>
    <xdr:sp macro="[0]!建立料號" textlink="">
      <xdr:nvSpPr>
        <xdr:cNvPr id="6" name="矩形: 圓角 5">
          <a:extLst>
            <a:ext uri="{FF2B5EF4-FFF2-40B4-BE49-F238E27FC236}">
              <a16:creationId xmlns:a16="http://schemas.microsoft.com/office/drawing/2014/main" id="{39458C7A-297B-408B-ACFE-47D9D06A0EC0}"/>
            </a:ext>
          </a:extLst>
        </xdr:cNvPr>
        <xdr:cNvSpPr/>
      </xdr:nvSpPr>
      <xdr:spPr>
        <a:xfrm>
          <a:off x="9024470" y="164353"/>
          <a:ext cx="4766235" cy="44188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建立料號</a:t>
          </a:r>
        </a:p>
      </xdr:txBody>
    </xdr:sp>
    <xdr:clientData/>
  </xdr:twoCellAnchor>
  <xdr:twoCellAnchor>
    <xdr:from>
      <xdr:col>1</xdr:col>
      <xdr:colOff>410580</xdr:colOff>
      <xdr:row>15</xdr:row>
      <xdr:rowOff>173833</xdr:rowOff>
    </xdr:from>
    <xdr:to>
      <xdr:col>2</xdr:col>
      <xdr:colOff>686993</xdr:colOff>
      <xdr:row>17</xdr:row>
      <xdr:rowOff>232052</xdr:rowOff>
    </xdr:to>
    <xdr:sp macro="[0]!查詢" textlink="">
      <xdr:nvSpPr>
        <xdr:cNvPr id="7" name="矩形: 圓角 6">
          <a:extLst>
            <a:ext uri="{FF2B5EF4-FFF2-40B4-BE49-F238E27FC236}">
              <a16:creationId xmlns:a16="http://schemas.microsoft.com/office/drawing/2014/main" id="{0EB4DE8B-1AE6-40C3-9FF1-3AE7FFB2B7A8}"/>
            </a:ext>
          </a:extLst>
        </xdr:cNvPr>
        <xdr:cNvSpPr/>
      </xdr:nvSpPr>
      <xdr:spPr>
        <a:xfrm>
          <a:off x="1021157" y="2894564"/>
          <a:ext cx="1180067" cy="439219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chemeClr val="bg1"/>
              </a:solidFill>
            </a:rPr>
            <a:t>查詢</a:t>
          </a:r>
          <a:endParaRPr lang="en-US" altLang="zh-TW" sz="16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18142</xdr:colOff>
      <xdr:row>0</xdr:row>
      <xdr:rowOff>27214</xdr:rowOff>
    </xdr:from>
    <xdr:to>
      <xdr:col>11</xdr:col>
      <xdr:colOff>18142</xdr:colOff>
      <xdr:row>1</xdr:row>
      <xdr:rowOff>27214</xdr:rowOff>
    </xdr:to>
    <xdr:sp macro="[0]!輸出" textlink="">
      <xdr:nvSpPr>
        <xdr:cNvPr id="2" name="矩形: 圓角 1">
          <a:extLst>
            <a:ext uri="{FF2B5EF4-FFF2-40B4-BE49-F238E27FC236}">
              <a16:creationId xmlns:a16="http://schemas.microsoft.com/office/drawing/2014/main" id="{F568AF24-0EDA-4C36-A71C-F47DFDDC580F}"/>
            </a:ext>
          </a:extLst>
        </xdr:cNvPr>
        <xdr:cNvSpPr/>
      </xdr:nvSpPr>
      <xdr:spPr>
        <a:xfrm>
          <a:off x="18859499" y="27214"/>
          <a:ext cx="1124857" cy="55335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chemeClr val="bg1"/>
              </a:solidFill>
            </a:rPr>
            <a:t>輸出</a:t>
          </a:r>
          <a:endParaRPr lang="en-US" altLang="zh-TW" sz="16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37353</xdr:colOff>
      <xdr:row>0</xdr:row>
      <xdr:rowOff>1</xdr:rowOff>
    </xdr:from>
    <xdr:to>
      <xdr:col>10</xdr:col>
      <xdr:colOff>1180353</xdr:colOff>
      <xdr:row>1</xdr:row>
      <xdr:rowOff>7471</xdr:rowOff>
    </xdr:to>
    <xdr:sp macro="[0]!清除清單" textlink="">
      <xdr:nvSpPr>
        <xdr:cNvPr id="2" name="矩形: 圓角 1">
          <a:extLst>
            <a:ext uri="{FF2B5EF4-FFF2-40B4-BE49-F238E27FC236}">
              <a16:creationId xmlns:a16="http://schemas.microsoft.com/office/drawing/2014/main" id="{E2F19871-DB4F-49CE-82DF-6DF8D89162C9}"/>
            </a:ext>
          </a:extLst>
        </xdr:cNvPr>
        <xdr:cNvSpPr/>
      </xdr:nvSpPr>
      <xdr:spPr>
        <a:xfrm>
          <a:off x="14605000" y="1"/>
          <a:ext cx="1143000" cy="336176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chemeClr val="bg1"/>
              </a:solidFill>
            </a:rPr>
            <a:t>清除清單</a:t>
          </a:r>
          <a:endParaRPr lang="en-US" altLang="zh-TW" sz="1600">
            <a:solidFill>
              <a:schemeClr val="bg1"/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29D80-EBD7-4AF2-A07D-8DE5AA208994}" name="表格1" displayName="表格1" ref="A1:I313" totalsRowShown="0" headerRowDxfId="31" dataDxfId="30">
  <autoFilter ref="A1:I313" xr:uid="{A5529D80-EBD7-4AF2-A07D-8DE5AA208994}"/>
  <tableColumns count="9">
    <tableColumn id="1" xr3:uid="{7753F171-13BA-4757-9F84-F68DDAE0C859}" name="日期" dataDxfId="29"/>
    <tableColumn id="2" xr3:uid="{6F7173EF-9661-430F-9EB2-D10DA6EF0085}" name="料號" dataDxfId="28"/>
    <tableColumn id="3" xr3:uid="{D9351DF6-60C9-45F7-A50D-6701D27A5AC5}" name="品名" dataDxfId="27"/>
    <tableColumn id="4" xr3:uid="{3D395405-979C-4D38-BB0D-08AA64957CF4}" name="規格" dataDxfId="26"/>
    <tableColumn id="5" xr3:uid="{A67EC262-ED86-4724-B6CD-298D95D4F745}" name="出入庫" dataDxfId="25"/>
    <tableColumn id="6" xr3:uid="{CB13AC18-B30E-4E8F-BA82-C8F73EE38399}" name="數量" dataDxfId="24"/>
    <tableColumn id="7" xr3:uid="{C22658E4-4866-4C25-960F-00D537C614EC}" name="來源" dataDxfId="23"/>
    <tableColumn id="8" xr3:uid="{C2677849-2041-4D15-9793-C03E9191250A}" name="儲位" dataDxfId="22"/>
    <tableColumn id="9" xr3:uid="{646B804C-5E3C-4108-BDA6-532888D2713F}" name="吋數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BC5AA8-D06F-4655-8012-93A5DEEAD60C}" name="表格2" displayName="表格2" ref="A1:I395" totalsRowShown="0" headerRowDxfId="19" dataDxfId="17" headerRowBorderDxfId="18" tableBorderDxfId="16" totalsRowBorderDxfId="15">
  <autoFilter ref="A1:I395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67DEBD0-2B8A-4B5E-B03F-EA03764B77B1}" name="料號" dataDxfId="14"/>
    <tableColumn id="2" xr3:uid="{37E9C36B-E5AC-4E96-BBC9-DDF2776CEA58}" name="品名" dataDxfId="13"/>
    <tableColumn id="3" xr3:uid="{C57D5199-F36D-4C4A-AE60-33C54FBC8451}" name="規格" dataDxfId="12"/>
    <tableColumn id="4" xr3:uid="{D16BABFE-3BB2-4A4D-91C8-40C74E09C6E9}" name="在庫量" dataDxfId="11">
      <calculatedColumnFormula>SUMIFS(出入庫!F:F,出入庫!E:E,"入庫",出入庫!B:B,表格2[[#This Row],[料號]])-SUMIFS(出入庫!F:F,出入庫!E:E,"出庫",出入庫!B:B,表格2[[#This Row],[料號]])</calculatedColumnFormula>
    </tableColumn>
    <tableColumn id="5" xr3:uid="{5EC6700B-96B1-4A49-9325-48C002EA0E60}" name="安全庫存" dataDxfId="10"/>
    <tableColumn id="6" xr3:uid="{7025D0DD-0C06-4AF3-9F54-5928E1970555}" name="吋數" dataDxfId="9"/>
    <tableColumn id="7" xr3:uid="{3E7D2E8B-5A14-460F-BBD9-8BD5375DB449}" name="SPQ" dataDxfId="8"/>
    <tableColumn id="8" xr3:uid="{C09DFE51-9F5A-488C-A251-CD6C8E2EF13A}" name="Vdr" dataDxfId="7"/>
    <tableColumn id="9" xr3:uid="{904FA317-47E3-4A35-B53A-1FA66C169F47}" name="Unit Price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9CD500-A814-4190-843B-4DBAAE122118}" name="表格7" displayName="表格7" ref="A2:B6" headerRowCount="0" totalsRowShown="0" headerRowDxfId="5" dataDxfId="4">
  <tableColumns count="2">
    <tableColumn id="1" xr3:uid="{73196D9B-7A86-42AA-90EB-CFB018ED30C3}" name="欄1" headerRowDxfId="3" dataDxfId="2"/>
    <tableColumn id="2" xr3:uid="{8F3C46B3-6D55-44EB-9C07-915BC0A856EC}" name="欄2" headerRowDxfId="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31"/>
  <sheetViews>
    <sheetView zoomScale="145" zoomScaleNormal="145" workbookViewId="0">
      <selection activeCell="D33" sqref="D33"/>
    </sheetView>
  </sheetViews>
  <sheetFormatPr defaultRowHeight="14.5" x14ac:dyDescent="0.3"/>
  <cols>
    <col min="1" max="1" width="10" style="13" bestFit="1" customWidth="1"/>
    <col min="2" max="2" width="14.19921875" style="9" customWidth="1"/>
    <col min="3" max="3" width="18.09765625" style="9" bestFit="1" customWidth="1"/>
    <col min="4" max="4" width="53.09765625" style="9" bestFit="1" customWidth="1"/>
    <col min="5" max="6" width="37.09765625" style="9" customWidth="1"/>
    <col min="7" max="8" width="5.796875" style="9" bestFit="1" customWidth="1"/>
    <col min="9" max="9" width="8" style="9" bestFit="1" customWidth="1"/>
    <col min="10" max="10" width="10.296875" style="9" bestFit="1" customWidth="1"/>
    <col min="11" max="14" width="16.296875" style="9" customWidth="1"/>
    <col min="15" max="16384" width="8.796875" style="9"/>
  </cols>
  <sheetData>
    <row r="1" spans="1:16" x14ac:dyDescent="0.3">
      <c r="A1" s="70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x14ac:dyDescent="0.3">
      <c r="A2" s="70"/>
      <c r="B2" s="8"/>
      <c r="C2" s="1"/>
      <c r="D2" s="1"/>
      <c r="E2" s="1"/>
      <c r="F2" s="1"/>
      <c r="G2" s="18"/>
      <c r="H2" s="19"/>
      <c r="I2" s="8"/>
      <c r="J2" s="8"/>
      <c r="K2" s="8"/>
      <c r="L2" s="8"/>
      <c r="M2" s="8"/>
      <c r="N2" s="8"/>
      <c r="O2" s="8"/>
      <c r="P2" s="8"/>
    </row>
    <row r="3" spans="1:16" ht="5" customHeight="1" x14ac:dyDescent="0.3">
      <c r="A3" s="70"/>
      <c r="B3" s="10"/>
      <c r="C3" s="10"/>
      <c r="D3" s="1"/>
      <c r="E3" s="1"/>
      <c r="F3" s="1"/>
      <c r="G3" s="18"/>
      <c r="H3" s="19"/>
      <c r="I3" s="8"/>
      <c r="J3" s="8"/>
      <c r="K3" s="8"/>
      <c r="L3" s="8"/>
      <c r="M3" s="8"/>
      <c r="N3" s="8"/>
      <c r="O3" s="8"/>
      <c r="P3" s="8"/>
    </row>
    <row r="4" spans="1:16" ht="25" customHeight="1" x14ac:dyDescent="0.3">
      <c r="A4" s="70"/>
      <c r="B4" s="10"/>
      <c r="C4" s="10"/>
      <c r="D4" s="1" t="s">
        <v>523</v>
      </c>
      <c r="E4" s="75">
        <v>45630</v>
      </c>
      <c r="F4" s="75"/>
      <c r="G4" s="18"/>
      <c r="H4" s="19"/>
      <c r="I4" s="8"/>
      <c r="J4" s="8"/>
      <c r="K4" s="8"/>
      <c r="L4" s="8"/>
      <c r="M4" s="8"/>
      <c r="N4" s="8"/>
      <c r="O4" s="8"/>
      <c r="P4" s="8"/>
    </row>
    <row r="5" spans="1:16" ht="5" customHeight="1" x14ac:dyDescent="0.3">
      <c r="A5" s="70"/>
      <c r="B5" s="10"/>
      <c r="C5" s="10"/>
      <c r="D5" s="1"/>
      <c r="E5" s="1"/>
      <c r="F5" s="1"/>
      <c r="G5" s="18"/>
      <c r="H5" s="19"/>
      <c r="I5" s="8"/>
      <c r="J5" s="1"/>
      <c r="K5" s="1"/>
      <c r="L5" s="1"/>
      <c r="M5" s="71"/>
      <c r="N5" s="71"/>
      <c r="O5" s="71"/>
      <c r="P5" s="8"/>
    </row>
    <row r="6" spans="1:16" ht="25" customHeight="1" x14ac:dyDescent="0.3">
      <c r="A6" s="70"/>
      <c r="B6" s="10"/>
      <c r="C6" s="10"/>
      <c r="D6" s="1"/>
      <c r="E6" s="76" t="s">
        <v>1138</v>
      </c>
      <c r="F6" s="76"/>
      <c r="G6" s="18"/>
      <c r="H6" s="19"/>
      <c r="I6" s="8"/>
      <c r="J6" s="22" t="s">
        <v>524</v>
      </c>
      <c r="K6" s="72"/>
      <c r="L6" s="72"/>
      <c r="M6" s="72"/>
      <c r="N6" s="72"/>
      <c r="O6" s="22"/>
      <c r="P6" s="8"/>
    </row>
    <row r="7" spans="1:16" ht="5" customHeight="1" x14ac:dyDescent="0.3">
      <c r="A7" s="70"/>
      <c r="B7" s="10"/>
      <c r="C7" s="10"/>
      <c r="D7" s="1"/>
      <c r="E7" s="1"/>
      <c r="F7" s="1"/>
      <c r="G7" s="18"/>
      <c r="H7" s="19"/>
      <c r="I7" s="8"/>
      <c r="J7" s="22"/>
      <c r="K7" s="22"/>
      <c r="L7" s="22"/>
      <c r="M7" s="22"/>
      <c r="N7" s="22"/>
      <c r="O7" s="22"/>
      <c r="P7" s="8"/>
    </row>
    <row r="8" spans="1:16" ht="25" customHeight="1" x14ac:dyDescent="0.3">
      <c r="A8" s="70"/>
      <c r="B8" s="10"/>
      <c r="C8" s="10"/>
      <c r="D8" s="1" t="s">
        <v>525</v>
      </c>
      <c r="E8" s="74" t="str">
        <f>IFERROR(VLOOKUP(E6,庫存!$A$2:$C$9998,2,0),"")</f>
        <v>Resister 0603</v>
      </c>
      <c r="F8" s="74"/>
      <c r="G8" s="18"/>
      <c r="H8" s="19"/>
      <c r="I8" s="8"/>
      <c r="J8" s="22" t="s">
        <v>525</v>
      </c>
      <c r="K8" s="74"/>
      <c r="L8" s="74"/>
      <c r="M8" s="74"/>
      <c r="N8" s="74"/>
      <c r="O8" s="22"/>
      <c r="P8" s="8"/>
    </row>
    <row r="9" spans="1:16" ht="5" customHeight="1" x14ac:dyDescent="0.3">
      <c r="A9" s="70"/>
      <c r="B9" s="10"/>
      <c r="C9" s="10"/>
      <c r="D9" s="1"/>
      <c r="E9" s="1"/>
      <c r="F9" s="1"/>
      <c r="G9" s="18"/>
      <c r="H9" s="19"/>
      <c r="I9" s="8"/>
      <c r="J9" s="22"/>
      <c r="K9" s="22"/>
      <c r="L9" s="22"/>
      <c r="M9" s="22"/>
      <c r="N9" s="22"/>
      <c r="O9" s="22"/>
      <c r="P9" s="8"/>
    </row>
    <row r="10" spans="1:16" ht="25" customHeight="1" x14ac:dyDescent="0.3">
      <c r="A10" s="70"/>
      <c r="B10" s="10"/>
      <c r="C10" s="10"/>
      <c r="D10" s="1" t="s">
        <v>526</v>
      </c>
      <c r="E10" s="74" t="str">
        <f>IFERROR(VLOOKUP(E6,庫存!$A$2:$C$9998,3,0),"")</f>
        <v>RES/WR06X104JTL/100K/0603/75V/5%/1/10W/華新科</v>
      </c>
      <c r="F10" s="74"/>
      <c r="G10" s="18"/>
      <c r="H10" s="19"/>
      <c r="I10" s="8"/>
      <c r="J10" s="22" t="s">
        <v>526</v>
      </c>
      <c r="K10" s="74"/>
      <c r="L10" s="74"/>
      <c r="M10" s="74"/>
      <c r="N10" s="74"/>
      <c r="O10" s="22"/>
      <c r="P10" s="8"/>
    </row>
    <row r="11" spans="1:16" ht="5" customHeight="1" x14ac:dyDescent="0.3">
      <c r="A11" s="70"/>
      <c r="B11" s="10"/>
      <c r="C11" s="10"/>
      <c r="D11" s="1"/>
      <c r="E11" s="1"/>
      <c r="F11" s="1"/>
      <c r="G11" s="18"/>
      <c r="H11" s="19"/>
      <c r="I11" s="8"/>
      <c r="J11" s="22"/>
      <c r="K11" s="22"/>
      <c r="L11" s="22"/>
      <c r="M11" s="22"/>
      <c r="N11" s="22"/>
      <c r="O11" s="22"/>
      <c r="P11" s="8"/>
    </row>
    <row r="12" spans="1:16" ht="25" customHeight="1" x14ac:dyDescent="0.3">
      <c r="A12" s="70"/>
      <c r="B12" s="10"/>
      <c r="C12" s="10"/>
      <c r="D12" s="1" t="s">
        <v>527</v>
      </c>
      <c r="E12" s="11" t="s">
        <v>803</v>
      </c>
      <c r="F12" s="11" t="s">
        <v>804</v>
      </c>
      <c r="G12" s="48" t="s">
        <v>803</v>
      </c>
      <c r="H12" s="19"/>
      <c r="I12" s="8"/>
      <c r="J12" s="22" t="s">
        <v>1021</v>
      </c>
      <c r="K12" s="74"/>
      <c r="L12" s="74"/>
      <c r="M12" s="74"/>
      <c r="N12" s="74"/>
      <c r="O12" s="22"/>
      <c r="P12" s="8"/>
    </row>
    <row r="13" spans="1:16" ht="5" customHeight="1" x14ac:dyDescent="0.3">
      <c r="A13" s="70"/>
      <c r="B13" s="10"/>
      <c r="C13" s="10"/>
      <c r="D13" s="1"/>
      <c r="E13" s="1"/>
      <c r="F13" s="1"/>
      <c r="G13" s="18"/>
      <c r="H13" s="19"/>
      <c r="I13" s="8"/>
      <c r="J13" s="22"/>
      <c r="K13" s="22"/>
      <c r="L13" s="22"/>
      <c r="M13" s="23"/>
      <c r="N13" s="23"/>
      <c r="O13" s="23"/>
      <c r="P13" s="8"/>
    </row>
    <row r="14" spans="1:16" ht="25" customHeight="1" x14ac:dyDescent="0.3">
      <c r="A14" s="70"/>
      <c r="B14" s="10"/>
      <c r="C14" s="10"/>
      <c r="D14" s="1" t="s">
        <v>528</v>
      </c>
      <c r="E14" s="73"/>
      <c r="F14" s="73"/>
      <c r="G14" s="18"/>
      <c r="H14" s="19"/>
      <c r="I14" s="8"/>
      <c r="J14" s="39" t="s">
        <v>1039</v>
      </c>
      <c r="K14" s="74"/>
      <c r="L14" s="74"/>
      <c r="M14" s="74"/>
      <c r="N14" s="74"/>
      <c r="O14" s="39"/>
      <c r="P14" s="8"/>
    </row>
    <row r="15" spans="1:16" ht="5" customHeight="1" x14ac:dyDescent="0.3">
      <c r="A15" s="70"/>
      <c r="B15" s="10"/>
      <c r="C15" s="10"/>
      <c r="D15" s="1"/>
      <c r="E15" s="1"/>
      <c r="F15" s="1"/>
      <c r="G15" s="18"/>
      <c r="H15" s="19"/>
      <c r="I15" s="8"/>
      <c r="J15" s="40"/>
      <c r="K15" s="40"/>
      <c r="L15" s="40"/>
      <c r="M15" s="23"/>
      <c r="N15" s="23"/>
      <c r="O15" s="23"/>
      <c r="P15" s="8"/>
    </row>
    <row r="16" spans="1:16" ht="25" customHeight="1" x14ac:dyDescent="0.3">
      <c r="A16" s="70"/>
      <c r="B16" s="10"/>
      <c r="C16" s="10"/>
      <c r="D16" s="1" t="s">
        <v>839</v>
      </c>
      <c r="E16" s="74" t="s">
        <v>810</v>
      </c>
      <c r="F16" s="74"/>
      <c r="G16" s="18"/>
      <c r="H16" s="19"/>
      <c r="I16" s="8"/>
      <c r="J16" s="40" t="s">
        <v>1129</v>
      </c>
      <c r="K16" s="74"/>
      <c r="L16" s="74"/>
      <c r="M16" s="74"/>
      <c r="N16" s="74"/>
      <c r="O16" s="40"/>
      <c r="P16" s="8"/>
    </row>
    <row r="17" spans="1:16" ht="5" customHeight="1" x14ac:dyDescent="0.3">
      <c r="A17" s="70"/>
      <c r="B17" s="10"/>
      <c r="C17" s="10"/>
      <c r="D17" s="1"/>
      <c r="E17" s="1"/>
      <c r="F17" s="1"/>
      <c r="G17" s="18"/>
      <c r="H17" s="19"/>
      <c r="I17" s="8"/>
      <c r="J17" s="40"/>
      <c r="K17" s="40"/>
      <c r="L17" s="40"/>
      <c r="M17" s="23"/>
      <c r="N17" s="23"/>
      <c r="O17" s="23"/>
      <c r="P17" s="8"/>
    </row>
    <row r="18" spans="1:16" ht="25" customHeight="1" x14ac:dyDescent="0.3">
      <c r="A18" s="70"/>
      <c r="B18" s="10"/>
      <c r="C18" s="10"/>
      <c r="D18" s="1" t="s">
        <v>1021</v>
      </c>
      <c r="E18" s="73" t="str">
        <f>IFERROR(VLOOKUP(E6,庫存!$A$2:$F$9998,6,0),"")</f>
        <v>7吋</v>
      </c>
      <c r="F18" s="73"/>
      <c r="G18" s="18"/>
      <c r="H18" s="19"/>
      <c r="I18" s="8"/>
      <c r="J18" s="40" t="s">
        <v>1130</v>
      </c>
      <c r="K18" s="74"/>
      <c r="L18" s="74"/>
      <c r="M18" s="74"/>
      <c r="N18" s="74"/>
      <c r="O18" s="40"/>
      <c r="P18" s="8"/>
    </row>
    <row r="19" spans="1:16" ht="5" customHeight="1" x14ac:dyDescent="0.3">
      <c r="A19" s="70"/>
      <c r="B19" s="10"/>
      <c r="C19" s="10"/>
      <c r="D19" s="1"/>
      <c r="E19" s="1"/>
      <c r="F19" s="1"/>
      <c r="G19" s="18"/>
      <c r="H19" s="19"/>
      <c r="I19" s="8"/>
      <c r="J19" s="40"/>
      <c r="K19" s="40"/>
      <c r="L19" s="40"/>
      <c r="M19" s="23"/>
      <c r="N19" s="23"/>
      <c r="O19" s="23"/>
      <c r="P19" s="8"/>
    </row>
    <row r="20" spans="1:16" ht="25" customHeight="1" x14ac:dyDescent="0.3">
      <c r="A20" s="70"/>
      <c r="B20" s="10"/>
      <c r="C20" s="10"/>
      <c r="D20" s="1" t="s">
        <v>1022</v>
      </c>
      <c r="E20" s="73"/>
      <c r="F20" s="73"/>
      <c r="G20" s="18"/>
      <c r="H20" s="19"/>
      <c r="I20" s="8"/>
      <c r="J20" s="8"/>
      <c r="K20" s="8"/>
      <c r="L20" s="8"/>
      <c r="M20" s="8"/>
      <c r="N20" s="8"/>
      <c r="O20" s="8"/>
      <c r="P20" s="8"/>
    </row>
    <row r="21" spans="1:16" ht="5" customHeight="1" x14ac:dyDescent="0.3">
      <c r="A21" s="70"/>
      <c r="B21" s="8"/>
      <c r="C21" s="1"/>
      <c r="D21" s="1"/>
      <c r="E21" s="1"/>
      <c r="F21" s="1"/>
      <c r="G21" s="1"/>
      <c r="H21" s="19"/>
      <c r="I21" s="8"/>
      <c r="J21" s="8"/>
      <c r="K21" s="8"/>
      <c r="L21" s="8"/>
      <c r="M21" s="8"/>
      <c r="N21" s="8"/>
      <c r="O21" s="8"/>
      <c r="P21" s="8"/>
    </row>
    <row r="22" spans="1:16" ht="25" customHeight="1" x14ac:dyDescent="0.3">
      <c r="A22" s="70"/>
      <c r="B22" s="8"/>
      <c r="C22" s="1"/>
      <c r="D22" s="1" t="s">
        <v>1126</v>
      </c>
      <c r="E22" s="73">
        <f>IFERROR(VLOOKUP(E6,庫存!$A$2:$D$9998,4,0),"")</f>
        <v>16567</v>
      </c>
      <c r="F22" s="73"/>
      <c r="G22" s="18"/>
      <c r="H22" s="19"/>
      <c r="I22" s="8"/>
      <c r="J22" s="8"/>
      <c r="K22" s="8"/>
      <c r="L22" s="8"/>
      <c r="M22" s="8"/>
      <c r="N22" s="8"/>
      <c r="O22" s="8"/>
      <c r="P22" s="8"/>
    </row>
    <row r="23" spans="1:16" ht="5" customHeight="1" x14ac:dyDescent="0.3">
      <c r="A23" s="70"/>
      <c r="B23" s="8"/>
      <c r="C23" s="40"/>
      <c r="D23" s="40"/>
      <c r="E23" s="40"/>
      <c r="F23" s="40"/>
      <c r="G23" s="40"/>
      <c r="H23" s="8"/>
      <c r="I23" s="8"/>
      <c r="J23" s="8"/>
      <c r="K23" s="8"/>
      <c r="L23" s="8"/>
      <c r="M23" s="8"/>
      <c r="N23" s="8"/>
      <c r="O23" s="8"/>
      <c r="P23" s="8"/>
    </row>
    <row r="24" spans="1:16" x14ac:dyDescent="0.3">
      <c r="A24" s="70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</row>
    <row r="25" spans="1:16" x14ac:dyDescent="0.3">
      <c r="A25" s="13" t="s">
        <v>523</v>
      </c>
      <c r="B25" s="9" t="s">
        <v>524</v>
      </c>
      <c r="C25" s="9" t="s">
        <v>525</v>
      </c>
      <c r="D25" s="9" t="s">
        <v>526</v>
      </c>
      <c r="E25" s="9" t="s">
        <v>527</v>
      </c>
      <c r="F25" s="9" t="s">
        <v>528</v>
      </c>
      <c r="G25" s="9" t="s">
        <v>839</v>
      </c>
      <c r="H25" s="9" t="s">
        <v>1022</v>
      </c>
      <c r="I25" s="9" t="s">
        <v>1021</v>
      </c>
    </row>
    <row r="26" spans="1:16" customFormat="1" x14ac:dyDescent="0.3">
      <c r="A26" s="13">
        <v>45474</v>
      </c>
      <c r="B26" s="9" t="s">
        <v>142</v>
      </c>
      <c r="C26" s="9" t="s">
        <v>81</v>
      </c>
      <c r="D26" s="9" t="s">
        <v>856</v>
      </c>
      <c r="E26" s="9" t="s">
        <v>808</v>
      </c>
      <c r="F26" s="9">
        <v>839</v>
      </c>
      <c r="G26" s="9" t="s">
        <v>810</v>
      </c>
      <c r="H26" s="9">
        <v>55</v>
      </c>
      <c r="I26" s="9" t="s">
        <v>1064</v>
      </c>
      <c r="J26" s="9"/>
    </row>
    <row r="27" spans="1:16" customFormat="1" x14ac:dyDescent="0.3">
      <c r="A27" s="13">
        <v>45474</v>
      </c>
      <c r="B27" s="9" t="s">
        <v>142</v>
      </c>
      <c r="C27" s="9" t="s">
        <v>81</v>
      </c>
      <c r="D27" s="9" t="s">
        <v>856</v>
      </c>
      <c r="E27" s="9" t="s">
        <v>808</v>
      </c>
      <c r="F27" s="9">
        <v>5000</v>
      </c>
      <c r="G27" s="9" t="s">
        <v>810</v>
      </c>
      <c r="H27" s="9">
        <v>381</v>
      </c>
      <c r="I27" s="9" t="s">
        <v>1064</v>
      </c>
      <c r="J27" s="9"/>
    </row>
    <row r="28" spans="1:16" customFormat="1" x14ac:dyDescent="0.3">
      <c r="A28" s="13">
        <v>45474</v>
      </c>
      <c r="B28" s="9" t="s">
        <v>142</v>
      </c>
      <c r="C28" s="9" t="s">
        <v>81</v>
      </c>
      <c r="D28" s="9" t="s">
        <v>856</v>
      </c>
      <c r="E28" s="9" t="s">
        <v>808</v>
      </c>
      <c r="F28" s="9">
        <v>5000</v>
      </c>
      <c r="G28" s="9" t="s">
        <v>810</v>
      </c>
      <c r="H28" s="9">
        <v>262</v>
      </c>
      <c r="I28" s="9" t="s">
        <v>1064</v>
      </c>
    </row>
    <row r="29" spans="1:16" customFormat="1" x14ac:dyDescent="0.3">
      <c r="A29" s="13">
        <v>45474</v>
      </c>
      <c r="B29" s="9" t="s">
        <v>142</v>
      </c>
      <c r="C29" s="9" t="s">
        <v>81</v>
      </c>
      <c r="D29" s="9" t="s">
        <v>856</v>
      </c>
      <c r="E29" s="9" t="s">
        <v>808</v>
      </c>
      <c r="F29" s="9">
        <v>3332</v>
      </c>
      <c r="G29" s="9" t="s">
        <v>810</v>
      </c>
      <c r="H29" s="9">
        <v>589</v>
      </c>
      <c r="I29" s="9" t="s">
        <v>1064</v>
      </c>
      <c r="J29" s="9"/>
    </row>
    <row r="30" spans="1:16" customFormat="1" x14ac:dyDescent="0.3">
      <c r="A30" s="13">
        <v>45474</v>
      </c>
      <c r="B30" s="9" t="s">
        <v>142</v>
      </c>
      <c r="C30" s="9" t="s">
        <v>81</v>
      </c>
      <c r="D30" s="9" t="s">
        <v>856</v>
      </c>
      <c r="E30" s="9" t="s">
        <v>808</v>
      </c>
      <c r="F30" s="9">
        <v>2396</v>
      </c>
      <c r="G30" s="9" t="s">
        <v>810</v>
      </c>
      <c r="H30" s="9">
        <v>464</v>
      </c>
      <c r="I30" s="9" t="s">
        <v>1064</v>
      </c>
      <c r="J30" s="9"/>
    </row>
    <row r="31" spans="1:16" x14ac:dyDescent="0.3">
      <c r="A31" s="13">
        <v>45630</v>
      </c>
      <c r="B31" s="9" t="s">
        <v>142</v>
      </c>
      <c r="C31" s="9" t="s">
        <v>81</v>
      </c>
      <c r="D31" s="9" t="s">
        <v>856</v>
      </c>
      <c r="E31" s="9" t="s">
        <v>808</v>
      </c>
      <c r="F31" s="9">
        <v>500</v>
      </c>
      <c r="G31" s="9" t="s">
        <v>810</v>
      </c>
      <c r="H31" s="9">
        <v>56</v>
      </c>
      <c r="I31" s="9" t="s">
        <v>1064</v>
      </c>
    </row>
  </sheetData>
  <mergeCells count="17">
    <mergeCell ref="E22:F22"/>
    <mergeCell ref="K8:N8"/>
    <mergeCell ref="K10:N10"/>
    <mergeCell ref="K12:N12"/>
    <mergeCell ref="K14:N14"/>
    <mergeCell ref="E4:F4"/>
    <mergeCell ref="E6:F6"/>
    <mergeCell ref="E8:F8"/>
    <mergeCell ref="E10:F10"/>
    <mergeCell ref="E14:F14"/>
    <mergeCell ref="M5:O5"/>
    <mergeCell ref="K6:N6"/>
    <mergeCell ref="E18:F18"/>
    <mergeCell ref="E20:F20"/>
    <mergeCell ref="E16:F16"/>
    <mergeCell ref="K16:N16"/>
    <mergeCell ref="K18:N18"/>
  </mergeCells>
  <phoneticPr fontId="1" type="noConversion"/>
  <conditionalFormatting sqref="E12">
    <cfRule type="expression" dxfId="35" priority="3">
      <formula>$G$12="入庫"</formula>
    </cfRule>
    <cfRule type="expression" dxfId="34" priority="4">
      <formula>$G$12&lt;&gt;"入庫"</formula>
    </cfRule>
  </conditionalFormatting>
  <conditionalFormatting sqref="F12">
    <cfRule type="expression" dxfId="33" priority="1">
      <formula>$G$12="出庫"</formula>
    </cfRule>
    <cfRule type="expression" dxfId="32" priority="2">
      <formula>$G$12&lt;&gt;"出庫"</formula>
    </cfRule>
  </conditionalFormatting>
  <dataValidations count="3">
    <dataValidation type="whole" allowBlank="1" showInputMessage="1" showErrorMessage="1" sqref="E14:F14 E20:F20" xr:uid="{43F8865B-6DE9-4786-8EE0-F56FAE748106}">
      <formula1>1</formula1>
      <formula2>5000</formula2>
    </dataValidation>
    <dataValidation type="custom" allowBlank="1" showInputMessage="1" showErrorMessage="1" sqref="E6:F6" xr:uid="{729DAB64-B7A9-403F-919A-79B32296892D}">
      <formula1>AND(LEN(E6) = 9, EXACT(LEFT(E6, 1), "B"), EXACT(MID(E6, 6, 1), "A"), MID(E6, 2, 1) = "1", MID(E6, 3, 1) = "5")</formula1>
    </dataValidation>
    <dataValidation type="custom" allowBlank="1" showInputMessage="1" showErrorMessage="1" sqref="K6:N6" xr:uid="{6853213B-D8E4-4ED0-A45B-041CFF546707}">
      <formula1>AND(LEN(E6) = 9, EXACT(LEFT(E6, 1), "B"), EXACT(MID(E6, 6, 1), "A"), MID(E6, 2, 1) = "1", MID(E6, 3, 1) = "5")</formula1>
    </dataValidation>
  </dataValidation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A217C55A-09AC-40C5-A3E5-1715D0D0CD25}">
          <x14:formula1>
            <xm:f>_xlfn.ANCHORARRAY(數據庫!$C$2)</xm:f>
          </x14:formula1>
          <xm:sqref>E16:F16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129D9-6CDB-4221-8757-871B1B76FD9E}">
  <sheetPr codeName="工作表3"/>
  <dimension ref="A1:J313"/>
  <sheetViews>
    <sheetView zoomScale="85" zoomScaleNormal="85" workbookViewId="0">
      <pane ySplit="1" topLeftCell="A283" activePane="bottomLeft" state="frozen"/>
      <selection activeCell="C221" sqref="C221"/>
      <selection pane="bottomLeft" activeCell="D325" sqref="D325"/>
    </sheetView>
  </sheetViews>
  <sheetFormatPr defaultRowHeight="14.5" x14ac:dyDescent="0.3"/>
  <cols>
    <col min="1" max="1" width="11.296875" style="9" bestFit="1" customWidth="1"/>
    <col min="2" max="2" width="11.3984375" style="9" bestFit="1" customWidth="1"/>
    <col min="3" max="3" width="30.19921875" style="9" bestFit="1" customWidth="1"/>
    <col min="4" max="4" width="76.296875" style="9" bestFit="1" customWidth="1"/>
    <col min="5" max="5" width="11.59765625" style="9" bestFit="1" customWidth="1"/>
    <col min="6" max="7" width="8.19921875" style="9" bestFit="1" customWidth="1"/>
    <col min="8" max="12" width="8.796875" customWidth="1"/>
  </cols>
  <sheetData>
    <row r="1" spans="1:10" s="15" customFormat="1" ht="21.5" x14ac:dyDescent="0.45">
      <c r="A1" s="14" t="s">
        <v>523</v>
      </c>
      <c r="B1" s="14" t="s">
        <v>524</v>
      </c>
      <c r="C1" s="14" t="s">
        <v>525</v>
      </c>
      <c r="D1" s="14" t="s">
        <v>526</v>
      </c>
      <c r="E1" s="14" t="s">
        <v>527</v>
      </c>
      <c r="F1" s="14" t="s">
        <v>528</v>
      </c>
      <c r="G1" s="14" t="s">
        <v>839</v>
      </c>
      <c r="H1" s="20" t="s">
        <v>1022</v>
      </c>
      <c r="I1" s="20" t="s">
        <v>1021</v>
      </c>
      <c r="J1" s="20"/>
    </row>
    <row r="2" spans="1:10" x14ac:dyDescent="0.3">
      <c r="A2" s="13">
        <v>45474</v>
      </c>
      <c r="B2" s="9" t="s">
        <v>80</v>
      </c>
      <c r="C2" s="9" t="s">
        <v>81</v>
      </c>
      <c r="D2" s="9" t="s">
        <v>812</v>
      </c>
      <c r="E2" s="9" t="s">
        <v>808</v>
      </c>
      <c r="F2" s="9">
        <v>4195</v>
      </c>
      <c r="G2" s="9" t="s">
        <v>810</v>
      </c>
      <c r="H2" s="9">
        <v>1</v>
      </c>
      <c r="I2" s="9" t="s">
        <v>1024</v>
      </c>
      <c r="J2" s="9"/>
    </row>
    <row r="3" spans="1:10" x14ac:dyDescent="0.3">
      <c r="A3" s="13">
        <v>45474</v>
      </c>
      <c r="B3" s="9" t="s">
        <v>80</v>
      </c>
      <c r="C3" s="9" t="s">
        <v>81</v>
      </c>
      <c r="D3" s="9" t="s">
        <v>812</v>
      </c>
      <c r="E3" s="9" t="s">
        <v>808</v>
      </c>
      <c r="F3" s="9">
        <v>2954</v>
      </c>
      <c r="G3" s="9" t="s">
        <v>810</v>
      </c>
      <c r="H3" s="9">
        <v>2</v>
      </c>
      <c r="I3" s="9" t="s">
        <v>1024</v>
      </c>
      <c r="J3" s="9"/>
    </row>
    <row r="4" spans="1:10" x14ac:dyDescent="0.3">
      <c r="A4" s="13">
        <v>45474</v>
      </c>
      <c r="B4" s="9" t="s">
        <v>82</v>
      </c>
      <c r="C4" s="9" t="s">
        <v>81</v>
      </c>
      <c r="D4" s="9" t="s">
        <v>813</v>
      </c>
      <c r="E4" s="9" t="s">
        <v>808</v>
      </c>
      <c r="F4" s="9">
        <v>4794</v>
      </c>
      <c r="G4" s="9" t="s">
        <v>810</v>
      </c>
      <c r="H4" s="9">
        <v>3</v>
      </c>
      <c r="I4" s="9" t="s">
        <v>1024</v>
      </c>
      <c r="J4" s="9"/>
    </row>
    <row r="5" spans="1:10" x14ac:dyDescent="0.3">
      <c r="A5" s="13">
        <v>45474</v>
      </c>
      <c r="B5" s="9" t="s">
        <v>82</v>
      </c>
      <c r="C5" s="9" t="s">
        <v>81</v>
      </c>
      <c r="D5" s="9" t="s">
        <v>813</v>
      </c>
      <c r="E5" s="9" t="s">
        <v>808</v>
      </c>
      <c r="F5" s="9">
        <v>5000</v>
      </c>
      <c r="G5" s="9" t="s">
        <v>810</v>
      </c>
      <c r="H5" s="9">
        <v>4</v>
      </c>
      <c r="I5" s="9" t="s">
        <v>1024</v>
      </c>
      <c r="J5" s="9"/>
    </row>
    <row r="6" spans="1:10" x14ac:dyDescent="0.3">
      <c r="A6" s="13">
        <v>45474</v>
      </c>
      <c r="B6" s="9" t="s">
        <v>82</v>
      </c>
      <c r="C6" s="9" t="s">
        <v>81</v>
      </c>
      <c r="D6" s="9" t="s">
        <v>813</v>
      </c>
      <c r="E6" s="9" t="s">
        <v>808</v>
      </c>
      <c r="F6" s="9">
        <v>5000</v>
      </c>
      <c r="G6" s="9" t="s">
        <v>810</v>
      </c>
      <c r="H6" s="9">
        <v>5</v>
      </c>
      <c r="I6" s="9" t="s">
        <v>1024</v>
      </c>
      <c r="J6" s="9"/>
    </row>
    <row r="7" spans="1:10" x14ac:dyDescent="0.3">
      <c r="A7" s="13">
        <v>45474</v>
      </c>
      <c r="B7" s="9" t="s">
        <v>85</v>
      </c>
      <c r="C7" s="9" t="s">
        <v>81</v>
      </c>
      <c r="D7" s="9" t="s">
        <v>814</v>
      </c>
      <c r="E7" s="9" t="s">
        <v>808</v>
      </c>
      <c r="F7" s="9">
        <v>4546</v>
      </c>
      <c r="G7" s="9" t="s">
        <v>810</v>
      </c>
      <c r="H7" s="9">
        <v>6</v>
      </c>
      <c r="I7" s="9" t="s">
        <v>1024</v>
      </c>
      <c r="J7" s="9"/>
    </row>
    <row r="8" spans="1:10" x14ac:dyDescent="0.3">
      <c r="A8" s="13">
        <v>45474</v>
      </c>
      <c r="B8" s="9" t="s">
        <v>85</v>
      </c>
      <c r="C8" s="9" t="s">
        <v>81</v>
      </c>
      <c r="D8" s="9" t="s">
        <v>814</v>
      </c>
      <c r="E8" s="9" t="s">
        <v>808</v>
      </c>
      <c r="F8" s="9">
        <v>4634</v>
      </c>
      <c r="G8" s="9" t="s">
        <v>810</v>
      </c>
      <c r="H8" s="9">
        <v>7</v>
      </c>
      <c r="I8" s="9" t="s">
        <v>1024</v>
      </c>
      <c r="J8" s="9"/>
    </row>
    <row r="9" spans="1:10" x14ac:dyDescent="0.3">
      <c r="A9" s="13">
        <v>45474</v>
      </c>
      <c r="B9" s="9" t="s">
        <v>91</v>
      </c>
      <c r="C9" s="9" t="s">
        <v>81</v>
      </c>
      <c r="D9" s="9" t="s">
        <v>815</v>
      </c>
      <c r="E9" s="9" t="s">
        <v>808</v>
      </c>
      <c r="F9" s="9">
        <v>2388</v>
      </c>
      <c r="G9" s="9" t="s">
        <v>810</v>
      </c>
      <c r="H9" s="9">
        <v>8</v>
      </c>
      <c r="I9" s="9" t="s">
        <v>1024</v>
      </c>
      <c r="J9" s="9"/>
    </row>
    <row r="10" spans="1:10" x14ac:dyDescent="0.3">
      <c r="A10" s="13">
        <v>45474</v>
      </c>
      <c r="B10" s="9" t="s">
        <v>92</v>
      </c>
      <c r="C10" s="9" t="s">
        <v>81</v>
      </c>
      <c r="D10" s="9" t="s">
        <v>816</v>
      </c>
      <c r="E10" s="9" t="s">
        <v>808</v>
      </c>
      <c r="F10" s="9">
        <v>4239</v>
      </c>
      <c r="G10" s="9" t="s">
        <v>810</v>
      </c>
      <c r="H10" s="9">
        <v>9</v>
      </c>
      <c r="I10" s="9" t="s">
        <v>1024</v>
      </c>
      <c r="J10" s="9"/>
    </row>
    <row r="11" spans="1:10" x14ac:dyDescent="0.3">
      <c r="A11" s="13">
        <v>45474</v>
      </c>
      <c r="B11" s="9" t="s">
        <v>94</v>
      </c>
      <c r="C11" s="9" t="s">
        <v>81</v>
      </c>
      <c r="D11" s="9" t="s">
        <v>817</v>
      </c>
      <c r="E11" s="9" t="s">
        <v>808</v>
      </c>
      <c r="F11" s="9">
        <v>3487</v>
      </c>
      <c r="G11" s="9" t="s">
        <v>810</v>
      </c>
      <c r="H11" s="9">
        <v>10</v>
      </c>
      <c r="I11" s="9" t="s">
        <v>1024</v>
      </c>
      <c r="J11" s="9"/>
    </row>
    <row r="12" spans="1:10" x14ac:dyDescent="0.3">
      <c r="A12" s="13">
        <v>45474</v>
      </c>
      <c r="B12" s="9" t="s">
        <v>94</v>
      </c>
      <c r="C12" s="9" t="s">
        <v>81</v>
      </c>
      <c r="D12" s="9" t="s">
        <v>817</v>
      </c>
      <c r="E12" s="9" t="s">
        <v>808</v>
      </c>
      <c r="F12" s="9">
        <v>5000</v>
      </c>
      <c r="G12" s="9" t="s">
        <v>810</v>
      </c>
      <c r="H12" s="9">
        <v>11</v>
      </c>
      <c r="I12" s="9" t="s">
        <v>1024</v>
      </c>
      <c r="J12" s="9"/>
    </row>
    <row r="13" spans="1:10" x14ac:dyDescent="0.3">
      <c r="A13" s="13">
        <v>45474</v>
      </c>
      <c r="B13" s="9" t="s">
        <v>95</v>
      </c>
      <c r="C13" s="9" t="s">
        <v>81</v>
      </c>
      <c r="D13" s="9" t="s">
        <v>818</v>
      </c>
      <c r="E13" s="9" t="s">
        <v>808</v>
      </c>
      <c r="F13" s="9">
        <v>52</v>
      </c>
      <c r="G13" s="9" t="s">
        <v>810</v>
      </c>
      <c r="H13" s="9">
        <v>12</v>
      </c>
      <c r="I13" s="9" t="s">
        <v>1024</v>
      </c>
      <c r="J13" s="9"/>
    </row>
    <row r="14" spans="1:10" x14ac:dyDescent="0.3">
      <c r="A14" s="13">
        <v>45474</v>
      </c>
      <c r="B14" s="9" t="s">
        <v>97</v>
      </c>
      <c r="C14" s="9" t="s">
        <v>81</v>
      </c>
      <c r="D14" s="9" t="s">
        <v>819</v>
      </c>
      <c r="E14" s="9" t="s">
        <v>808</v>
      </c>
      <c r="F14" s="9">
        <v>2669</v>
      </c>
      <c r="G14" s="9" t="s">
        <v>810</v>
      </c>
      <c r="H14" s="9">
        <v>13</v>
      </c>
      <c r="I14" s="9" t="s">
        <v>1024</v>
      </c>
      <c r="J14" s="9"/>
    </row>
    <row r="15" spans="1:10" x14ac:dyDescent="0.3">
      <c r="A15" s="13">
        <v>45474</v>
      </c>
      <c r="B15" s="9" t="s">
        <v>98</v>
      </c>
      <c r="C15" s="9" t="s">
        <v>81</v>
      </c>
      <c r="D15" s="9" t="s">
        <v>820</v>
      </c>
      <c r="E15" s="9" t="s">
        <v>808</v>
      </c>
      <c r="F15" s="9">
        <v>2673</v>
      </c>
      <c r="G15" s="9" t="s">
        <v>810</v>
      </c>
      <c r="H15" s="9">
        <v>14</v>
      </c>
      <c r="I15" s="9" t="s">
        <v>1024</v>
      </c>
      <c r="J15" s="9"/>
    </row>
    <row r="16" spans="1:10" x14ac:dyDescent="0.3">
      <c r="A16" s="13">
        <v>45474</v>
      </c>
      <c r="B16" s="9" t="s">
        <v>99</v>
      </c>
      <c r="C16" s="9" t="s">
        <v>81</v>
      </c>
      <c r="D16" s="9" t="s">
        <v>821</v>
      </c>
      <c r="E16" s="9" t="s">
        <v>808</v>
      </c>
      <c r="F16" s="9">
        <v>3733</v>
      </c>
      <c r="G16" s="9" t="s">
        <v>810</v>
      </c>
      <c r="H16" s="9">
        <v>15</v>
      </c>
      <c r="I16" s="9" t="s">
        <v>1024</v>
      </c>
      <c r="J16" s="9"/>
    </row>
    <row r="17" spans="1:10" x14ac:dyDescent="0.3">
      <c r="A17" s="13">
        <v>45474</v>
      </c>
      <c r="B17" s="9" t="s">
        <v>100</v>
      </c>
      <c r="C17" s="9" t="s">
        <v>81</v>
      </c>
      <c r="D17" s="9" t="s">
        <v>822</v>
      </c>
      <c r="E17" s="9" t="s">
        <v>808</v>
      </c>
      <c r="F17" s="9">
        <v>4459</v>
      </c>
      <c r="G17" s="9" t="s">
        <v>810</v>
      </c>
      <c r="H17" s="9">
        <v>16</v>
      </c>
      <c r="I17" s="9" t="s">
        <v>1024</v>
      </c>
      <c r="J17" s="9"/>
    </row>
    <row r="18" spans="1:10" x14ac:dyDescent="0.3">
      <c r="A18" s="13">
        <v>45474</v>
      </c>
      <c r="B18" s="9" t="s">
        <v>101</v>
      </c>
      <c r="C18" s="9" t="s">
        <v>81</v>
      </c>
      <c r="D18" s="9" t="s">
        <v>823</v>
      </c>
      <c r="E18" s="9" t="s">
        <v>808</v>
      </c>
      <c r="F18" s="9">
        <v>1936</v>
      </c>
      <c r="G18" s="9" t="s">
        <v>810</v>
      </c>
      <c r="H18" s="9">
        <v>17</v>
      </c>
      <c r="I18" s="9" t="s">
        <v>1024</v>
      </c>
      <c r="J18" s="9"/>
    </row>
    <row r="19" spans="1:10" x14ac:dyDescent="0.3">
      <c r="A19" s="13">
        <v>45474</v>
      </c>
      <c r="B19" s="9" t="s">
        <v>101</v>
      </c>
      <c r="C19" s="9" t="s">
        <v>81</v>
      </c>
      <c r="D19" s="9" t="s">
        <v>823</v>
      </c>
      <c r="E19" s="9" t="s">
        <v>808</v>
      </c>
      <c r="F19" s="9">
        <v>2303</v>
      </c>
      <c r="G19" s="9" t="s">
        <v>810</v>
      </c>
      <c r="H19" s="9">
        <v>18</v>
      </c>
      <c r="I19" s="9" t="s">
        <v>1024</v>
      </c>
      <c r="J19" s="9"/>
    </row>
    <row r="20" spans="1:10" x14ac:dyDescent="0.3">
      <c r="A20" s="13">
        <v>45474</v>
      </c>
      <c r="B20" s="9" t="s">
        <v>102</v>
      </c>
      <c r="C20" s="9" t="s">
        <v>81</v>
      </c>
      <c r="D20" s="9" t="s">
        <v>824</v>
      </c>
      <c r="E20" s="9" t="s">
        <v>808</v>
      </c>
      <c r="F20" s="9">
        <v>5000</v>
      </c>
      <c r="G20" s="9" t="s">
        <v>810</v>
      </c>
      <c r="H20" s="9">
        <v>19</v>
      </c>
      <c r="I20" s="9" t="s">
        <v>1024</v>
      </c>
      <c r="J20" s="9"/>
    </row>
    <row r="21" spans="1:10" x14ac:dyDescent="0.3">
      <c r="A21" s="13">
        <v>45474</v>
      </c>
      <c r="B21" s="9" t="s">
        <v>102</v>
      </c>
      <c r="C21" s="9" t="s">
        <v>81</v>
      </c>
      <c r="D21" s="9" t="s">
        <v>824</v>
      </c>
      <c r="E21" s="9" t="s">
        <v>808</v>
      </c>
      <c r="F21" s="9">
        <v>5000</v>
      </c>
      <c r="G21" s="9" t="s">
        <v>810</v>
      </c>
      <c r="H21" s="9">
        <v>20</v>
      </c>
      <c r="I21" s="9" t="s">
        <v>1024</v>
      </c>
      <c r="J21" s="9"/>
    </row>
    <row r="22" spans="1:10" x14ac:dyDescent="0.3">
      <c r="A22" s="13">
        <v>45474</v>
      </c>
      <c r="B22" s="9" t="s">
        <v>103</v>
      </c>
      <c r="C22" s="9" t="s">
        <v>81</v>
      </c>
      <c r="D22" s="9" t="s">
        <v>825</v>
      </c>
      <c r="E22" s="9" t="s">
        <v>808</v>
      </c>
      <c r="F22" s="9">
        <v>4751</v>
      </c>
      <c r="G22" s="9" t="s">
        <v>810</v>
      </c>
      <c r="H22" s="9">
        <v>21</v>
      </c>
      <c r="I22" s="9" t="s">
        <v>1024</v>
      </c>
      <c r="J22" s="9"/>
    </row>
    <row r="23" spans="1:10" x14ac:dyDescent="0.3">
      <c r="A23" s="13">
        <v>45474</v>
      </c>
      <c r="B23" s="9" t="s">
        <v>104</v>
      </c>
      <c r="C23" s="9" t="s">
        <v>81</v>
      </c>
      <c r="D23" s="9" t="s">
        <v>826</v>
      </c>
      <c r="E23" s="9" t="s">
        <v>808</v>
      </c>
      <c r="F23" s="9">
        <v>5000</v>
      </c>
      <c r="G23" s="9" t="s">
        <v>810</v>
      </c>
      <c r="H23" s="9">
        <v>22</v>
      </c>
      <c r="I23" s="9" t="s">
        <v>1024</v>
      </c>
      <c r="J23" s="9"/>
    </row>
    <row r="24" spans="1:10" x14ac:dyDescent="0.3">
      <c r="A24" s="13">
        <v>45474</v>
      </c>
      <c r="B24" s="9" t="s">
        <v>105</v>
      </c>
      <c r="C24" s="9" t="s">
        <v>81</v>
      </c>
      <c r="D24" s="9" t="s">
        <v>827</v>
      </c>
      <c r="E24" s="9" t="s">
        <v>808</v>
      </c>
      <c r="F24" s="9">
        <v>2145</v>
      </c>
      <c r="G24" s="9" t="s">
        <v>810</v>
      </c>
      <c r="H24" s="9">
        <v>23</v>
      </c>
      <c r="I24" s="9" t="s">
        <v>1024</v>
      </c>
      <c r="J24" s="9"/>
    </row>
    <row r="25" spans="1:10" x14ac:dyDescent="0.3">
      <c r="A25" s="13">
        <v>45474</v>
      </c>
      <c r="B25" s="9" t="s">
        <v>106</v>
      </c>
      <c r="C25" s="9" t="s">
        <v>81</v>
      </c>
      <c r="D25" s="9" t="s">
        <v>828</v>
      </c>
      <c r="E25" s="9" t="s">
        <v>808</v>
      </c>
      <c r="F25" s="9">
        <v>4971</v>
      </c>
      <c r="G25" s="9" t="s">
        <v>810</v>
      </c>
      <c r="H25" s="9">
        <v>24</v>
      </c>
      <c r="I25" s="9" t="s">
        <v>1024</v>
      </c>
      <c r="J25" s="9"/>
    </row>
    <row r="26" spans="1:10" x14ac:dyDescent="0.3">
      <c r="A26" s="13">
        <v>45474</v>
      </c>
      <c r="B26" s="9" t="s">
        <v>106</v>
      </c>
      <c r="C26" s="9" t="s">
        <v>81</v>
      </c>
      <c r="D26" s="9" t="s">
        <v>828</v>
      </c>
      <c r="E26" s="9" t="s">
        <v>808</v>
      </c>
      <c r="F26" s="9">
        <v>4605</v>
      </c>
      <c r="G26" s="9" t="s">
        <v>810</v>
      </c>
      <c r="H26" s="9">
        <v>25</v>
      </c>
      <c r="I26" s="9" t="s">
        <v>1024</v>
      </c>
      <c r="J26" s="9"/>
    </row>
    <row r="27" spans="1:10" x14ac:dyDescent="0.3">
      <c r="A27" s="13">
        <v>45474</v>
      </c>
      <c r="B27" s="9" t="s">
        <v>108</v>
      </c>
      <c r="C27" s="9" t="s">
        <v>81</v>
      </c>
      <c r="D27" s="9" t="s">
        <v>829</v>
      </c>
      <c r="E27" s="9" t="s">
        <v>808</v>
      </c>
      <c r="F27" s="9">
        <v>4643</v>
      </c>
      <c r="G27" s="9" t="s">
        <v>810</v>
      </c>
      <c r="H27" s="9">
        <v>26</v>
      </c>
      <c r="I27" s="9" t="s">
        <v>1024</v>
      </c>
      <c r="J27" s="9"/>
    </row>
    <row r="28" spans="1:10" x14ac:dyDescent="0.3">
      <c r="A28" s="13">
        <v>45474</v>
      </c>
      <c r="B28" s="9" t="s">
        <v>109</v>
      </c>
      <c r="C28" s="9" t="s">
        <v>81</v>
      </c>
      <c r="D28" s="9" t="s">
        <v>830</v>
      </c>
      <c r="E28" s="9" t="s">
        <v>808</v>
      </c>
      <c r="F28" s="9">
        <v>4307</v>
      </c>
      <c r="G28" s="9" t="s">
        <v>810</v>
      </c>
      <c r="H28" s="9">
        <v>27</v>
      </c>
      <c r="I28" s="9" t="s">
        <v>1024</v>
      </c>
      <c r="J28" s="9"/>
    </row>
    <row r="29" spans="1:10" x14ac:dyDescent="0.3">
      <c r="A29" s="13">
        <v>45474</v>
      </c>
      <c r="B29" s="9" t="s">
        <v>110</v>
      </c>
      <c r="C29" s="9" t="s">
        <v>81</v>
      </c>
      <c r="D29" s="9" t="s">
        <v>831</v>
      </c>
      <c r="E29" s="9" t="s">
        <v>808</v>
      </c>
      <c r="F29" s="9">
        <v>4517</v>
      </c>
      <c r="G29" s="9" t="s">
        <v>810</v>
      </c>
      <c r="H29" s="9">
        <v>28</v>
      </c>
      <c r="I29" s="9" t="s">
        <v>1024</v>
      </c>
      <c r="J29" s="9"/>
    </row>
    <row r="30" spans="1:10" x14ac:dyDescent="0.3">
      <c r="A30" s="13">
        <v>45474</v>
      </c>
      <c r="B30" s="9" t="s">
        <v>112</v>
      </c>
      <c r="C30" s="9" t="s">
        <v>81</v>
      </c>
      <c r="D30" s="9" t="s">
        <v>832</v>
      </c>
      <c r="E30" s="9" t="s">
        <v>808</v>
      </c>
      <c r="F30" s="9">
        <v>2634</v>
      </c>
      <c r="G30" s="9" t="s">
        <v>810</v>
      </c>
      <c r="H30" s="9">
        <v>29</v>
      </c>
      <c r="I30" s="9" t="s">
        <v>1024</v>
      </c>
      <c r="J30" s="9"/>
    </row>
    <row r="31" spans="1:10" x14ac:dyDescent="0.3">
      <c r="A31" s="13">
        <v>45474</v>
      </c>
      <c r="B31" s="9" t="s">
        <v>115</v>
      </c>
      <c r="C31" s="9" t="s">
        <v>81</v>
      </c>
      <c r="D31" s="9" t="s">
        <v>833</v>
      </c>
      <c r="E31" s="9" t="s">
        <v>808</v>
      </c>
      <c r="F31" s="9">
        <v>4978</v>
      </c>
      <c r="G31" s="9" t="s">
        <v>810</v>
      </c>
      <c r="H31" s="9">
        <v>30</v>
      </c>
      <c r="I31" s="9" t="s">
        <v>1024</v>
      </c>
      <c r="J31" s="9"/>
    </row>
    <row r="32" spans="1:10" x14ac:dyDescent="0.3">
      <c r="A32" s="13">
        <v>45474</v>
      </c>
      <c r="B32" s="9" t="s">
        <v>115</v>
      </c>
      <c r="C32" s="9" t="s">
        <v>81</v>
      </c>
      <c r="D32" s="9" t="s">
        <v>833</v>
      </c>
      <c r="E32" s="9" t="s">
        <v>808</v>
      </c>
      <c r="F32" s="9">
        <v>4477</v>
      </c>
      <c r="G32" s="9" t="s">
        <v>810</v>
      </c>
      <c r="H32" s="9">
        <v>31</v>
      </c>
      <c r="I32" s="9" t="s">
        <v>1024</v>
      </c>
      <c r="J32" s="9"/>
    </row>
    <row r="33" spans="1:10" x14ac:dyDescent="0.3">
      <c r="A33" s="13">
        <v>45474</v>
      </c>
      <c r="B33" s="9" t="s">
        <v>116</v>
      </c>
      <c r="C33" s="9" t="s">
        <v>81</v>
      </c>
      <c r="D33" s="9" t="s">
        <v>834</v>
      </c>
      <c r="E33" s="9" t="s">
        <v>808</v>
      </c>
      <c r="F33" s="9">
        <v>4290</v>
      </c>
      <c r="G33" s="9" t="s">
        <v>810</v>
      </c>
      <c r="H33" s="9">
        <v>32</v>
      </c>
      <c r="I33" s="9" t="s">
        <v>1024</v>
      </c>
      <c r="J33" s="9"/>
    </row>
    <row r="34" spans="1:10" x14ac:dyDescent="0.3">
      <c r="A34" s="13">
        <v>45474</v>
      </c>
      <c r="B34" s="9" t="s">
        <v>117</v>
      </c>
      <c r="C34" s="9" t="s">
        <v>81</v>
      </c>
      <c r="D34" s="9" t="s">
        <v>835</v>
      </c>
      <c r="E34" s="9" t="s">
        <v>808</v>
      </c>
      <c r="F34" s="9">
        <v>4811</v>
      </c>
      <c r="G34" s="9" t="s">
        <v>810</v>
      </c>
      <c r="H34" s="9">
        <v>33</v>
      </c>
      <c r="I34" s="9" t="s">
        <v>1024</v>
      </c>
      <c r="J34" s="9"/>
    </row>
    <row r="35" spans="1:10" x14ac:dyDescent="0.3">
      <c r="A35" s="13">
        <v>45474</v>
      </c>
      <c r="B35" s="9" t="s">
        <v>119</v>
      </c>
      <c r="C35" s="9" t="s">
        <v>81</v>
      </c>
      <c r="D35" s="9" t="s">
        <v>836</v>
      </c>
      <c r="E35" s="9" t="s">
        <v>808</v>
      </c>
      <c r="F35" s="9">
        <v>3351</v>
      </c>
      <c r="G35" s="9" t="s">
        <v>810</v>
      </c>
      <c r="H35" s="9">
        <v>34</v>
      </c>
      <c r="I35" s="9" t="s">
        <v>1024</v>
      </c>
      <c r="J35" s="9"/>
    </row>
    <row r="36" spans="1:10" x14ac:dyDescent="0.3">
      <c r="A36" s="13">
        <v>45474</v>
      </c>
      <c r="B36" s="9" t="s">
        <v>119</v>
      </c>
      <c r="C36" s="9" t="s">
        <v>81</v>
      </c>
      <c r="D36" s="9" t="s">
        <v>836</v>
      </c>
      <c r="E36" s="9" t="s">
        <v>808</v>
      </c>
      <c r="F36" s="9">
        <v>3969</v>
      </c>
      <c r="G36" s="9" t="s">
        <v>810</v>
      </c>
      <c r="H36" s="9">
        <v>35</v>
      </c>
      <c r="I36" s="9" t="s">
        <v>1024</v>
      </c>
      <c r="J36" s="9"/>
    </row>
    <row r="37" spans="1:10" x14ac:dyDescent="0.3">
      <c r="A37" s="13">
        <v>45474</v>
      </c>
      <c r="B37" s="9" t="s">
        <v>121</v>
      </c>
      <c r="C37" s="9" t="s">
        <v>81</v>
      </c>
      <c r="D37" s="9" t="s">
        <v>837</v>
      </c>
      <c r="E37" s="9" t="s">
        <v>808</v>
      </c>
      <c r="F37" s="9">
        <v>2058</v>
      </c>
      <c r="G37" s="9" t="s">
        <v>810</v>
      </c>
      <c r="H37" s="9">
        <v>36</v>
      </c>
      <c r="I37" s="9" t="s">
        <v>1024</v>
      </c>
      <c r="J37" s="9"/>
    </row>
    <row r="38" spans="1:10" x14ac:dyDescent="0.3">
      <c r="A38" s="13">
        <v>45474</v>
      </c>
      <c r="B38" s="9" t="s">
        <v>122</v>
      </c>
      <c r="C38" s="9" t="s">
        <v>81</v>
      </c>
      <c r="D38" s="9" t="s">
        <v>838</v>
      </c>
      <c r="E38" s="9" t="s">
        <v>808</v>
      </c>
      <c r="F38" s="9">
        <v>3041</v>
      </c>
      <c r="G38" s="9" t="s">
        <v>810</v>
      </c>
      <c r="H38" s="9">
        <v>37</v>
      </c>
      <c r="I38" s="9" t="s">
        <v>1024</v>
      </c>
      <c r="J38" s="9"/>
    </row>
    <row r="39" spans="1:10" x14ac:dyDescent="0.3">
      <c r="A39" s="13">
        <v>45474</v>
      </c>
      <c r="B39" s="9" t="s">
        <v>124</v>
      </c>
      <c r="C39" s="9" t="s">
        <v>81</v>
      </c>
      <c r="D39" s="9" t="s">
        <v>840</v>
      </c>
      <c r="E39" s="9" t="s">
        <v>808</v>
      </c>
      <c r="F39" s="9">
        <v>5000</v>
      </c>
      <c r="G39" s="9" t="s">
        <v>810</v>
      </c>
      <c r="H39" s="9">
        <v>38</v>
      </c>
      <c r="I39" s="9" t="s">
        <v>1024</v>
      </c>
      <c r="J39" s="9"/>
    </row>
    <row r="40" spans="1:10" x14ac:dyDescent="0.3">
      <c r="A40" s="13">
        <v>45474</v>
      </c>
      <c r="B40" s="9" t="s">
        <v>125</v>
      </c>
      <c r="C40" s="9" t="s">
        <v>81</v>
      </c>
      <c r="D40" s="9" t="s">
        <v>841</v>
      </c>
      <c r="E40" s="9" t="s">
        <v>808</v>
      </c>
      <c r="F40" s="9">
        <v>4624</v>
      </c>
      <c r="G40" s="9" t="s">
        <v>810</v>
      </c>
      <c r="H40" s="9">
        <v>39</v>
      </c>
      <c r="I40" s="9" t="s">
        <v>1024</v>
      </c>
      <c r="J40" s="9"/>
    </row>
    <row r="41" spans="1:10" x14ac:dyDescent="0.3">
      <c r="A41" s="13">
        <v>45474</v>
      </c>
      <c r="B41" s="9" t="s">
        <v>126</v>
      </c>
      <c r="C41" s="9" t="s">
        <v>81</v>
      </c>
      <c r="D41" s="9" t="s">
        <v>842</v>
      </c>
      <c r="E41" s="9" t="s">
        <v>808</v>
      </c>
      <c r="F41" s="9">
        <v>3341</v>
      </c>
      <c r="G41" s="9" t="s">
        <v>810</v>
      </c>
      <c r="H41" s="9">
        <v>40</v>
      </c>
      <c r="I41" s="9" t="s">
        <v>1024</v>
      </c>
      <c r="J41" s="9"/>
    </row>
    <row r="42" spans="1:10" x14ac:dyDescent="0.3">
      <c r="A42" s="13">
        <v>45474</v>
      </c>
      <c r="B42" s="9" t="s">
        <v>127</v>
      </c>
      <c r="C42" s="9" t="s">
        <v>81</v>
      </c>
      <c r="D42" s="9" t="s">
        <v>843</v>
      </c>
      <c r="E42" s="9" t="s">
        <v>808</v>
      </c>
      <c r="F42" s="9">
        <v>5000</v>
      </c>
      <c r="G42" s="9" t="s">
        <v>810</v>
      </c>
      <c r="H42" s="9">
        <v>41</v>
      </c>
      <c r="I42" s="9" t="s">
        <v>1024</v>
      </c>
      <c r="J42" s="9"/>
    </row>
    <row r="43" spans="1:10" x14ac:dyDescent="0.3">
      <c r="A43" s="13">
        <v>45474</v>
      </c>
      <c r="B43" s="9" t="s">
        <v>129</v>
      </c>
      <c r="C43" s="9" t="s">
        <v>81</v>
      </c>
      <c r="D43" s="9" t="s">
        <v>844</v>
      </c>
      <c r="E43" s="9" t="s">
        <v>808</v>
      </c>
      <c r="F43" s="9">
        <v>4792</v>
      </c>
      <c r="G43" s="9" t="s">
        <v>810</v>
      </c>
      <c r="H43" s="9">
        <v>42</v>
      </c>
      <c r="I43" s="9" t="s">
        <v>1024</v>
      </c>
      <c r="J43" s="9"/>
    </row>
    <row r="44" spans="1:10" x14ac:dyDescent="0.3">
      <c r="A44" s="13">
        <v>45474</v>
      </c>
      <c r="B44" s="9" t="s">
        <v>130</v>
      </c>
      <c r="C44" s="9" t="s">
        <v>81</v>
      </c>
      <c r="D44" s="9" t="s">
        <v>845</v>
      </c>
      <c r="E44" s="9" t="s">
        <v>808</v>
      </c>
      <c r="F44" s="9">
        <v>4818</v>
      </c>
      <c r="G44" s="9" t="s">
        <v>810</v>
      </c>
      <c r="H44" s="9">
        <v>43</v>
      </c>
      <c r="I44" s="9" t="s">
        <v>1024</v>
      </c>
      <c r="J44" s="9"/>
    </row>
    <row r="45" spans="1:10" x14ac:dyDescent="0.3">
      <c r="A45" s="13">
        <v>45474</v>
      </c>
      <c r="B45" s="9" t="s">
        <v>131</v>
      </c>
      <c r="C45" s="9" t="s">
        <v>81</v>
      </c>
      <c r="D45" s="9" t="s">
        <v>846</v>
      </c>
      <c r="E45" s="9" t="s">
        <v>808</v>
      </c>
      <c r="F45" s="9">
        <v>4755</v>
      </c>
      <c r="G45" s="9" t="s">
        <v>810</v>
      </c>
      <c r="H45" s="9">
        <v>44</v>
      </c>
      <c r="I45" s="9" t="s">
        <v>1024</v>
      </c>
      <c r="J45" s="9"/>
    </row>
    <row r="46" spans="1:10" x14ac:dyDescent="0.3">
      <c r="A46" s="13">
        <v>45474</v>
      </c>
      <c r="B46" s="9" t="s">
        <v>132</v>
      </c>
      <c r="C46" s="9" t="s">
        <v>81</v>
      </c>
      <c r="D46" s="9" t="s">
        <v>847</v>
      </c>
      <c r="E46" s="9" t="s">
        <v>808</v>
      </c>
      <c r="F46" s="9">
        <v>4880</v>
      </c>
      <c r="G46" s="9" t="s">
        <v>810</v>
      </c>
      <c r="H46" s="9">
        <v>45</v>
      </c>
      <c r="I46" s="9" t="s">
        <v>1024</v>
      </c>
      <c r="J46" s="9"/>
    </row>
    <row r="47" spans="1:10" x14ac:dyDescent="0.3">
      <c r="A47" s="13">
        <v>45474</v>
      </c>
      <c r="B47" s="9" t="s">
        <v>133</v>
      </c>
      <c r="C47" s="9" t="s">
        <v>81</v>
      </c>
      <c r="D47" s="9" t="s">
        <v>848</v>
      </c>
      <c r="E47" s="9" t="s">
        <v>808</v>
      </c>
      <c r="F47" s="9">
        <v>2343</v>
      </c>
      <c r="G47" s="9" t="s">
        <v>810</v>
      </c>
      <c r="H47" s="9">
        <v>46</v>
      </c>
      <c r="I47" s="9" t="s">
        <v>1024</v>
      </c>
      <c r="J47" s="9"/>
    </row>
    <row r="48" spans="1:10" x14ac:dyDescent="0.3">
      <c r="A48" s="13">
        <v>45474</v>
      </c>
      <c r="B48" s="9" t="s">
        <v>133</v>
      </c>
      <c r="C48" s="9" t="s">
        <v>81</v>
      </c>
      <c r="D48" s="9" t="s">
        <v>848</v>
      </c>
      <c r="E48" s="9" t="s">
        <v>808</v>
      </c>
      <c r="F48" s="9">
        <v>4984</v>
      </c>
      <c r="G48" s="9" t="s">
        <v>810</v>
      </c>
      <c r="H48" s="9">
        <v>47</v>
      </c>
      <c r="I48" s="9" t="s">
        <v>1024</v>
      </c>
      <c r="J48" s="9"/>
    </row>
    <row r="49" spans="1:10" x14ac:dyDescent="0.3">
      <c r="A49" s="13">
        <v>45474</v>
      </c>
      <c r="B49" s="9" t="s">
        <v>134</v>
      </c>
      <c r="C49" s="9" t="s">
        <v>81</v>
      </c>
      <c r="D49" s="9" t="s">
        <v>849</v>
      </c>
      <c r="E49" s="9" t="s">
        <v>808</v>
      </c>
      <c r="F49" s="9">
        <v>4856</v>
      </c>
      <c r="G49" s="9" t="s">
        <v>810</v>
      </c>
      <c r="H49" s="9">
        <v>48</v>
      </c>
      <c r="I49" s="9" t="s">
        <v>1024</v>
      </c>
      <c r="J49" s="9"/>
    </row>
    <row r="50" spans="1:10" x14ac:dyDescent="0.3">
      <c r="A50" s="13">
        <v>45474</v>
      </c>
      <c r="B50" s="9" t="s">
        <v>135</v>
      </c>
      <c r="C50" s="9" t="s">
        <v>81</v>
      </c>
      <c r="D50" s="9" t="s">
        <v>850</v>
      </c>
      <c r="E50" s="9" t="s">
        <v>808</v>
      </c>
      <c r="F50" s="9">
        <v>4924</v>
      </c>
      <c r="G50" s="9" t="s">
        <v>810</v>
      </c>
      <c r="H50" s="9">
        <v>49</v>
      </c>
      <c r="I50" s="9" t="s">
        <v>1024</v>
      </c>
      <c r="J50" s="9"/>
    </row>
    <row r="51" spans="1:10" x14ac:dyDescent="0.3">
      <c r="A51" s="13">
        <v>45474</v>
      </c>
      <c r="B51" s="9" t="s">
        <v>136</v>
      </c>
      <c r="C51" s="9" t="s">
        <v>81</v>
      </c>
      <c r="D51" s="9" t="s">
        <v>851</v>
      </c>
      <c r="E51" s="9" t="s">
        <v>808</v>
      </c>
      <c r="F51" s="9">
        <v>5000</v>
      </c>
      <c r="G51" s="9" t="s">
        <v>810</v>
      </c>
      <c r="H51" s="9">
        <v>50</v>
      </c>
      <c r="I51" s="9" t="s">
        <v>1024</v>
      </c>
      <c r="J51" s="9"/>
    </row>
    <row r="52" spans="1:10" x14ac:dyDescent="0.3">
      <c r="A52" s="13">
        <v>45474</v>
      </c>
      <c r="B52" s="9" t="s">
        <v>137</v>
      </c>
      <c r="C52" s="9" t="s">
        <v>81</v>
      </c>
      <c r="D52" s="9" t="s">
        <v>852</v>
      </c>
      <c r="E52" s="9" t="s">
        <v>808</v>
      </c>
      <c r="F52" s="9">
        <v>5000</v>
      </c>
      <c r="G52" s="9" t="s">
        <v>810</v>
      </c>
      <c r="H52" s="9">
        <v>51</v>
      </c>
      <c r="I52" s="9" t="s">
        <v>1024</v>
      </c>
      <c r="J52" s="9"/>
    </row>
    <row r="53" spans="1:10" x14ac:dyDescent="0.3">
      <c r="A53" s="13">
        <v>45474</v>
      </c>
      <c r="B53" s="9" t="s">
        <v>138</v>
      </c>
      <c r="C53" s="9" t="s">
        <v>81</v>
      </c>
      <c r="D53" s="9" t="s">
        <v>853</v>
      </c>
      <c r="E53" s="9" t="s">
        <v>808</v>
      </c>
      <c r="F53" s="9">
        <v>4505</v>
      </c>
      <c r="G53" s="9" t="s">
        <v>810</v>
      </c>
      <c r="H53" s="9">
        <v>52</v>
      </c>
      <c r="I53" s="9" t="s">
        <v>1024</v>
      </c>
      <c r="J53" s="9"/>
    </row>
    <row r="54" spans="1:10" x14ac:dyDescent="0.3">
      <c r="A54" s="13">
        <v>45474</v>
      </c>
      <c r="B54" s="9" t="s">
        <v>139</v>
      </c>
      <c r="C54" s="9" t="s">
        <v>81</v>
      </c>
      <c r="D54" s="9" t="s">
        <v>854</v>
      </c>
      <c r="E54" s="9" t="s">
        <v>808</v>
      </c>
      <c r="F54" s="9">
        <v>3722</v>
      </c>
      <c r="G54" s="9" t="s">
        <v>810</v>
      </c>
      <c r="H54" s="9">
        <v>53</v>
      </c>
      <c r="I54" s="9" t="s">
        <v>1024</v>
      </c>
      <c r="J54" s="9"/>
    </row>
    <row r="55" spans="1:10" x14ac:dyDescent="0.3">
      <c r="A55" s="13">
        <v>45474</v>
      </c>
      <c r="B55" s="9" t="s">
        <v>140</v>
      </c>
      <c r="C55" s="9" t="s">
        <v>81</v>
      </c>
      <c r="D55" s="9" t="s">
        <v>855</v>
      </c>
      <c r="E55" s="9" t="s">
        <v>808</v>
      </c>
      <c r="F55" s="9">
        <v>2195</v>
      </c>
      <c r="G55" s="9" t="s">
        <v>810</v>
      </c>
      <c r="H55" s="9">
        <v>54</v>
      </c>
      <c r="I55" s="9" t="s">
        <v>1024</v>
      </c>
      <c r="J55" s="9"/>
    </row>
    <row r="56" spans="1:10" x14ac:dyDescent="0.3">
      <c r="A56" s="13">
        <v>45474</v>
      </c>
      <c r="B56" s="9" t="s">
        <v>1138</v>
      </c>
      <c r="C56" s="9" t="s">
        <v>81</v>
      </c>
      <c r="D56" s="9" t="s">
        <v>856</v>
      </c>
      <c r="E56" s="9" t="s">
        <v>808</v>
      </c>
      <c r="F56" s="9">
        <v>839</v>
      </c>
      <c r="G56" s="9" t="s">
        <v>810</v>
      </c>
      <c r="H56" s="9">
        <v>55</v>
      </c>
      <c r="I56" s="9" t="s">
        <v>1024</v>
      </c>
      <c r="J56" s="9"/>
    </row>
    <row r="57" spans="1:10" x14ac:dyDescent="0.3">
      <c r="A57" s="13">
        <v>45474</v>
      </c>
      <c r="B57" s="9" t="s">
        <v>142</v>
      </c>
      <c r="C57" s="9" t="s">
        <v>81</v>
      </c>
      <c r="D57" s="9" t="s">
        <v>856</v>
      </c>
      <c r="E57" s="9" t="s">
        <v>808</v>
      </c>
      <c r="F57" s="9">
        <v>5000</v>
      </c>
      <c r="G57" s="9" t="s">
        <v>810</v>
      </c>
      <c r="H57" s="9">
        <v>381</v>
      </c>
      <c r="I57" s="9" t="s">
        <v>1024</v>
      </c>
      <c r="J57" s="9"/>
    </row>
    <row r="58" spans="1:10" x14ac:dyDescent="0.3">
      <c r="A58" s="13">
        <v>45474</v>
      </c>
      <c r="B58" s="9" t="s">
        <v>142</v>
      </c>
      <c r="C58" s="9" t="s">
        <v>81</v>
      </c>
      <c r="D58" s="9" t="s">
        <v>856</v>
      </c>
      <c r="E58" s="9" t="s">
        <v>808</v>
      </c>
      <c r="F58" s="9">
        <v>5000</v>
      </c>
      <c r="G58" s="9" t="s">
        <v>810</v>
      </c>
      <c r="H58" s="9">
        <v>262</v>
      </c>
      <c r="I58" s="9" t="s">
        <v>1024</v>
      </c>
      <c r="J58" s="9"/>
    </row>
    <row r="59" spans="1:10" x14ac:dyDescent="0.3">
      <c r="A59" s="13">
        <v>45474</v>
      </c>
      <c r="B59" s="9" t="s">
        <v>142</v>
      </c>
      <c r="C59" s="9" t="s">
        <v>81</v>
      </c>
      <c r="D59" s="9" t="s">
        <v>856</v>
      </c>
      <c r="E59" s="9" t="s">
        <v>808</v>
      </c>
      <c r="F59" s="9">
        <v>3332</v>
      </c>
      <c r="G59" s="9" t="s">
        <v>810</v>
      </c>
      <c r="H59" s="9">
        <v>589</v>
      </c>
      <c r="I59" s="9" t="s">
        <v>1024</v>
      </c>
      <c r="J59" s="9"/>
    </row>
    <row r="60" spans="1:10" x14ac:dyDescent="0.3">
      <c r="A60" s="13">
        <v>45474</v>
      </c>
      <c r="B60" s="9" t="s">
        <v>142</v>
      </c>
      <c r="C60" s="9" t="s">
        <v>81</v>
      </c>
      <c r="D60" s="9" t="s">
        <v>856</v>
      </c>
      <c r="E60" s="9" t="s">
        <v>808</v>
      </c>
      <c r="F60" s="9">
        <v>2396</v>
      </c>
      <c r="G60" s="9" t="s">
        <v>810</v>
      </c>
      <c r="H60" s="9">
        <v>464</v>
      </c>
      <c r="I60" s="9" t="s">
        <v>1024</v>
      </c>
      <c r="J60" s="9"/>
    </row>
    <row r="61" spans="1:10" x14ac:dyDescent="0.3">
      <c r="A61" s="13">
        <v>45474</v>
      </c>
      <c r="B61" s="9" t="s">
        <v>143</v>
      </c>
      <c r="C61" s="9" t="s">
        <v>81</v>
      </c>
      <c r="D61" s="9" t="s">
        <v>857</v>
      </c>
      <c r="E61" s="9" t="s">
        <v>808</v>
      </c>
      <c r="F61" s="9">
        <v>4765</v>
      </c>
      <c r="G61" s="9" t="s">
        <v>810</v>
      </c>
      <c r="H61" s="9">
        <v>60</v>
      </c>
      <c r="I61" s="9" t="s">
        <v>1024</v>
      </c>
      <c r="J61" s="9"/>
    </row>
    <row r="62" spans="1:10" x14ac:dyDescent="0.3">
      <c r="A62" s="13">
        <v>45474</v>
      </c>
      <c r="B62" s="9" t="s">
        <v>144</v>
      </c>
      <c r="C62" s="9" t="s">
        <v>81</v>
      </c>
      <c r="D62" s="9" t="s">
        <v>858</v>
      </c>
      <c r="E62" s="9" t="s">
        <v>808</v>
      </c>
      <c r="F62" s="9">
        <v>5000</v>
      </c>
      <c r="G62" s="9" t="s">
        <v>810</v>
      </c>
      <c r="H62" s="9">
        <v>61</v>
      </c>
      <c r="I62" s="9" t="s">
        <v>1024</v>
      </c>
      <c r="J62" s="9"/>
    </row>
    <row r="63" spans="1:10" x14ac:dyDescent="0.3">
      <c r="A63" s="13">
        <v>45474</v>
      </c>
      <c r="B63" s="9" t="s">
        <v>144</v>
      </c>
      <c r="C63" s="9" t="s">
        <v>81</v>
      </c>
      <c r="D63" s="9" t="s">
        <v>858</v>
      </c>
      <c r="E63" s="9" t="s">
        <v>808</v>
      </c>
      <c r="F63" s="9">
        <v>5000</v>
      </c>
      <c r="G63" s="9" t="s">
        <v>810</v>
      </c>
      <c r="H63" s="9">
        <v>62</v>
      </c>
      <c r="I63" s="9" t="s">
        <v>1024</v>
      </c>
      <c r="J63" s="9"/>
    </row>
    <row r="64" spans="1:10" x14ac:dyDescent="0.3">
      <c r="A64" s="13">
        <v>45474</v>
      </c>
      <c r="B64" s="9" t="s">
        <v>145</v>
      </c>
      <c r="C64" s="9" t="s">
        <v>81</v>
      </c>
      <c r="D64" s="9" t="s">
        <v>859</v>
      </c>
      <c r="E64" s="9" t="s">
        <v>808</v>
      </c>
      <c r="F64" s="9">
        <v>5000</v>
      </c>
      <c r="G64" s="9" t="s">
        <v>810</v>
      </c>
      <c r="H64" s="9">
        <v>63</v>
      </c>
      <c r="I64" s="9" t="s">
        <v>1024</v>
      </c>
      <c r="J64" s="9"/>
    </row>
    <row r="65" spans="1:10" x14ac:dyDescent="0.3">
      <c r="A65" s="13">
        <v>45474</v>
      </c>
      <c r="B65" s="9" t="s">
        <v>146</v>
      </c>
      <c r="C65" s="9" t="s">
        <v>81</v>
      </c>
      <c r="D65" s="9" t="s">
        <v>860</v>
      </c>
      <c r="E65" s="9" t="s">
        <v>808</v>
      </c>
      <c r="F65" s="9">
        <v>4900</v>
      </c>
      <c r="G65" s="9" t="s">
        <v>810</v>
      </c>
      <c r="H65" s="9">
        <v>64</v>
      </c>
      <c r="I65" s="9" t="s">
        <v>1024</v>
      </c>
      <c r="J65" s="9"/>
    </row>
    <row r="66" spans="1:10" x14ac:dyDescent="0.3">
      <c r="A66" s="13">
        <v>45474</v>
      </c>
      <c r="B66" s="9" t="s">
        <v>146</v>
      </c>
      <c r="C66" s="9" t="s">
        <v>81</v>
      </c>
      <c r="D66" s="9" t="s">
        <v>860</v>
      </c>
      <c r="E66" s="9" t="s">
        <v>808</v>
      </c>
      <c r="F66" s="9">
        <v>4940</v>
      </c>
      <c r="G66" s="9" t="s">
        <v>810</v>
      </c>
      <c r="H66" s="9">
        <v>65</v>
      </c>
      <c r="I66" s="9" t="s">
        <v>1024</v>
      </c>
      <c r="J66" s="9"/>
    </row>
    <row r="67" spans="1:10" x14ac:dyDescent="0.3">
      <c r="A67" s="13">
        <v>45474</v>
      </c>
      <c r="B67" s="9" t="s">
        <v>147</v>
      </c>
      <c r="C67" s="9" t="s">
        <v>81</v>
      </c>
      <c r="D67" s="9" t="s">
        <v>861</v>
      </c>
      <c r="E67" s="9" t="s">
        <v>808</v>
      </c>
      <c r="F67" s="9">
        <v>4986</v>
      </c>
      <c r="G67" s="9" t="s">
        <v>810</v>
      </c>
      <c r="H67" s="9">
        <v>66</v>
      </c>
      <c r="I67" s="9" t="s">
        <v>1024</v>
      </c>
      <c r="J67" s="9"/>
    </row>
    <row r="68" spans="1:10" x14ac:dyDescent="0.3">
      <c r="A68" s="13">
        <v>45474</v>
      </c>
      <c r="B68" s="9" t="s">
        <v>148</v>
      </c>
      <c r="C68" s="9" t="s">
        <v>81</v>
      </c>
      <c r="D68" s="9" t="s">
        <v>862</v>
      </c>
      <c r="E68" s="9" t="s">
        <v>808</v>
      </c>
      <c r="F68" s="9">
        <v>4986</v>
      </c>
      <c r="G68" s="9" t="s">
        <v>810</v>
      </c>
      <c r="H68" s="9">
        <v>67</v>
      </c>
      <c r="I68" s="9" t="s">
        <v>1024</v>
      </c>
      <c r="J68" s="9"/>
    </row>
    <row r="69" spans="1:10" x14ac:dyDescent="0.3">
      <c r="A69" s="13">
        <v>45474</v>
      </c>
      <c r="B69" s="9" t="s">
        <v>150</v>
      </c>
      <c r="C69" s="9" t="s">
        <v>81</v>
      </c>
      <c r="D69" s="9" t="s">
        <v>863</v>
      </c>
      <c r="E69" s="9" t="s">
        <v>808</v>
      </c>
      <c r="F69" s="9">
        <v>5000</v>
      </c>
      <c r="G69" s="9" t="s">
        <v>810</v>
      </c>
      <c r="H69" s="9">
        <v>68</v>
      </c>
      <c r="I69" s="9" t="s">
        <v>1024</v>
      </c>
      <c r="J69" s="9"/>
    </row>
    <row r="70" spans="1:10" x14ac:dyDescent="0.3">
      <c r="A70" s="13">
        <v>45474</v>
      </c>
      <c r="B70" s="9" t="s">
        <v>150</v>
      </c>
      <c r="C70" s="9" t="s">
        <v>81</v>
      </c>
      <c r="D70" s="9" t="s">
        <v>863</v>
      </c>
      <c r="E70" s="9" t="s">
        <v>808</v>
      </c>
      <c r="F70" s="9">
        <v>4865</v>
      </c>
      <c r="G70" s="9" t="s">
        <v>810</v>
      </c>
      <c r="H70" s="9">
        <v>69</v>
      </c>
      <c r="I70" s="9" t="s">
        <v>1024</v>
      </c>
      <c r="J70" s="9"/>
    </row>
    <row r="71" spans="1:10" x14ac:dyDescent="0.3">
      <c r="A71" s="13">
        <v>45474</v>
      </c>
      <c r="B71" s="9" t="s">
        <v>151</v>
      </c>
      <c r="C71" s="9" t="s">
        <v>81</v>
      </c>
      <c r="D71" s="9" t="s">
        <v>864</v>
      </c>
      <c r="E71" s="9" t="s">
        <v>808</v>
      </c>
      <c r="F71" s="9">
        <v>4900</v>
      </c>
      <c r="G71" s="9" t="s">
        <v>810</v>
      </c>
      <c r="H71" s="9">
        <v>70</v>
      </c>
      <c r="I71" s="9" t="s">
        <v>1024</v>
      </c>
      <c r="J71" s="9"/>
    </row>
    <row r="72" spans="1:10" x14ac:dyDescent="0.3">
      <c r="A72" s="13">
        <v>45474</v>
      </c>
      <c r="B72" s="9" t="s">
        <v>159</v>
      </c>
      <c r="C72" s="9" t="s">
        <v>81</v>
      </c>
      <c r="D72" s="9" t="s">
        <v>865</v>
      </c>
      <c r="E72" s="9" t="s">
        <v>808</v>
      </c>
      <c r="F72" s="9">
        <v>5000</v>
      </c>
      <c r="G72" s="9" t="s">
        <v>810</v>
      </c>
      <c r="H72" s="9">
        <v>71</v>
      </c>
      <c r="I72" s="9" t="s">
        <v>1024</v>
      </c>
      <c r="J72" s="9"/>
    </row>
    <row r="73" spans="1:10" x14ac:dyDescent="0.3">
      <c r="A73" s="13">
        <v>45474</v>
      </c>
      <c r="B73" s="9" t="s">
        <v>160</v>
      </c>
      <c r="C73" s="9" t="s">
        <v>81</v>
      </c>
      <c r="D73" s="9" t="s">
        <v>866</v>
      </c>
      <c r="E73" s="9" t="s">
        <v>808</v>
      </c>
      <c r="F73" s="9">
        <v>4980</v>
      </c>
      <c r="G73" s="9" t="s">
        <v>810</v>
      </c>
      <c r="H73" s="9">
        <v>72</v>
      </c>
      <c r="I73" s="9" t="s">
        <v>1024</v>
      </c>
      <c r="J73" s="9"/>
    </row>
    <row r="74" spans="1:10" x14ac:dyDescent="0.3">
      <c r="A74" s="13">
        <v>45474</v>
      </c>
      <c r="B74" s="9" t="s">
        <v>161</v>
      </c>
      <c r="C74" s="9" t="s">
        <v>81</v>
      </c>
      <c r="D74" s="9" t="s">
        <v>867</v>
      </c>
      <c r="E74" s="9" t="s">
        <v>808</v>
      </c>
      <c r="F74" s="9">
        <v>5000</v>
      </c>
      <c r="G74" s="9" t="s">
        <v>810</v>
      </c>
      <c r="H74" s="9">
        <v>73</v>
      </c>
      <c r="I74" s="9" t="s">
        <v>1024</v>
      </c>
      <c r="J74" s="9"/>
    </row>
    <row r="75" spans="1:10" x14ac:dyDescent="0.3">
      <c r="A75" s="13">
        <v>45474</v>
      </c>
      <c r="B75" s="9" t="s">
        <v>162</v>
      </c>
      <c r="C75" s="9" t="s">
        <v>81</v>
      </c>
      <c r="D75" s="9" t="s">
        <v>868</v>
      </c>
      <c r="E75" s="9" t="s">
        <v>808</v>
      </c>
      <c r="F75" s="9">
        <v>4875</v>
      </c>
      <c r="G75" s="9" t="s">
        <v>810</v>
      </c>
      <c r="H75" s="9">
        <v>74</v>
      </c>
      <c r="I75" s="9" t="s">
        <v>1024</v>
      </c>
      <c r="J75" s="9"/>
    </row>
    <row r="76" spans="1:10" x14ac:dyDescent="0.3">
      <c r="A76" s="13">
        <v>45474</v>
      </c>
      <c r="B76" s="9" t="s">
        <v>181</v>
      </c>
      <c r="C76" s="9" t="s">
        <v>180</v>
      </c>
      <c r="D76" s="9" t="s">
        <v>869</v>
      </c>
      <c r="E76" s="9" t="s">
        <v>808</v>
      </c>
      <c r="F76" s="9">
        <v>266</v>
      </c>
      <c r="G76" s="9" t="s">
        <v>810</v>
      </c>
      <c r="H76" s="9">
        <v>75</v>
      </c>
      <c r="I76" s="9" t="s">
        <v>1024</v>
      </c>
      <c r="J76" s="9"/>
    </row>
    <row r="77" spans="1:10" x14ac:dyDescent="0.3">
      <c r="A77" s="13">
        <v>45474</v>
      </c>
      <c r="B77" s="9" t="s">
        <v>183</v>
      </c>
      <c r="C77" s="9" t="s">
        <v>180</v>
      </c>
      <c r="D77" s="9" t="s">
        <v>870</v>
      </c>
      <c r="E77" s="9" t="s">
        <v>808</v>
      </c>
      <c r="F77" s="9">
        <v>5000</v>
      </c>
      <c r="G77" s="9" t="s">
        <v>810</v>
      </c>
      <c r="H77" s="9">
        <v>76</v>
      </c>
      <c r="I77" s="9" t="s">
        <v>1024</v>
      </c>
      <c r="J77" s="9"/>
    </row>
    <row r="78" spans="1:10" x14ac:dyDescent="0.3">
      <c r="A78" s="13">
        <v>45474</v>
      </c>
      <c r="B78" s="9" t="s">
        <v>184</v>
      </c>
      <c r="C78" s="9" t="s">
        <v>180</v>
      </c>
      <c r="D78" s="9" t="s">
        <v>871</v>
      </c>
      <c r="E78" s="9" t="s">
        <v>808</v>
      </c>
      <c r="F78" s="9">
        <v>5000</v>
      </c>
      <c r="G78" s="9" t="s">
        <v>810</v>
      </c>
      <c r="H78" s="9">
        <v>77</v>
      </c>
      <c r="I78" s="9" t="s">
        <v>1024</v>
      </c>
      <c r="J78" s="9"/>
    </row>
    <row r="79" spans="1:10" x14ac:dyDescent="0.3">
      <c r="A79" s="13">
        <v>45474</v>
      </c>
      <c r="B79" s="9" t="s">
        <v>185</v>
      </c>
      <c r="C79" s="9" t="s">
        <v>180</v>
      </c>
      <c r="D79" s="9" t="s">
        <v>872</v>
      </c>
      <c r="E79" s="9" t="s">
        <v>808</v>
      </c>
      <c r="F79" s="9">
        <v>448</v>
      </c>
      <c r="G79" s="9" t="s">
        <v>810</v>
      </c>
      <c r="H79" s="9">
        <v>78</v>
      </c>
      <c r="I79" s="9" t="s">
        <v>1024</v>
      </c>
      <c r="J79" s="9"/>
    </row>
    <row r="80" spans="1:10" x14ac:dyDescent="0.3">
      <c r="A80" s="13">
        <v>45474</v>
      </c>
      <c r="B80" s="9" t="s">
        <v>187</v>
      </c>
      <c r="C80" s="9" t="s">
        <v>180</v>
      </c>
      <c r="D80" s="9" t="s">
        <v>873</v>
      </c>
      <c r="E80" s="9" t="s">
        <v>808</v>
      </c>
      <c r="F80" s="9">
        <v>4000</v>
      </c>
      <c r="G80" s="9" t="s">
        <v>810</v>
      </c>
      <c r="H80" s="9">
        <v>79</v>
      </c>
      <c r="I80" s="9" t="s">
        <v>1024</v>
      </c>
      <c r="J80" s="9"/>
    </row>
    <row r="81" spans="1:10" x14ac:dyDescent="0.3">
      <c r="A81" s="13">
        <v>45474</v>
      </c>
      <c r="B81" s="9" t="s">
        <v>203</v>
      </c>
      <c r="C81" s="9" t="s">
        <v>204</v>
      </c>
      <c r="D81" s="9" t="s">
        <v>874</v>
      </c>
      <c r="E81" s="9" t="s">
        <v>808</v>
      </c>
      <c r="F81" s="9">
        <v>3073</v>
      </c>
      <c r="G81" s="9" t="s">
        <v>810</v>
      </c>
      <c r="H81" s="9">
        <v>80</v>
      </c>
      <c r="I81" s="9" t="s">
        <v>1024</v>
      </c>
      <c r="J81" s="9"/>
    </row>
    <row r="82" spans="1:10" x14ac:dyDescent="0.3">
      <c r="A82" s="13">
        <v>45474</v>
      </c>
      <c r="B82" s="9" t="s">
        <v>205</v>
      </c>
      <c r="C82" s="9" t="s">
        <v>204</v>
      </c>
      <c r="D82" s="9" t="s">
        <v>875</v>
      </c>
      <c r="E82" s="9" t="s">
        <v>808</v>
      </c>
      <c r="F82" s="9">
        <v>401</v>
      </c>
      <c r="G82" s="9" t="s">
        <v>810</v>
      </c>
      <c r="H82" s="9">
        <v>81</v>
      </c>
      <c r="I82" s="9" t="s">
        <v>1024</v>
      </c>
      <c r="J82" s="9"/>
    </row>
    <row r="83" spans="1:10" x14ac:dyDescent="0.3">
      <c r="A83" s="13">
        <v>45474</v>
      </c>
      <c r="B83" s="9" t="s">
        <v>205</v>
      </c>
      <c r="C83" s="9" t="s">
        <v>204</v>
      </c>
      <c r="D83" s="9" t="s">
        <v>875</v>
      </c>
      <c r="E83" s="9" t="s">
        <v>808</v>
      </c>
      <c r="F83" s="9">
        <v>1415</v>
      </c>
      <c r="G83" s="9" t="s">
        <v>810</v>
      </c>
      <c r="H83" s="9">
        <v>82</v>
      </c>
      <c r="I83" s="9" t="s">
        <v>1024</v>
      </c>
      <c r="J83" s="9"/>
    </row>
    <row r="84" spans="1:10" x14ac:dyDescent="0.3">
      <c r="A84" s="13">
        <v>45474</v>
      </c>
      <c r="B84" s="9" t="s">
        <v>207</v>
      </c>
      <c r="C84" s="9" t="s">
        <v>204</v>
      </c>
      <c r="D84" s="9" t="s">
        <v>876</v>
      </c>
      <c r="E84" s="9" t="s">
        <v>808</v>
      </c>
      <c r="F84" s="9">
        <v>79</v>
      </c>
      <c r="G84" s="9" t="s">
        <v>810</v>
      </c>
      <c r="H84" s="9">
        <v>83</v>
      </c>
      <c r="I84" s="9" t="s">
        <v>1024</v>
      </c>
      <c r="J84" s="9"/>
    </row>
    <row r="85" spans="1:10" x14ac:dyDescent="0.3">
      <c r="A85" s="13">
        <v>45474</v>
      </c>
      <c r="B85" s="9" t="s">
        <v>208</v>
      </c>
      <c r="C85" s="9" t="s">
        <v>204</v>
      </c>
      <c r="D85" s="9" t="s">
        <v>877</v>
      </c>
      <c r="E85" s="9" t="s">
        <v>808</v>
      </c>
      <c r="F85" s="9">
        <v>962</v>
      </c>
      <c r="G85" s="9" t="s">
        <v>810</v>
      </c>
      <c r="H85" s="9">
        <v>84</v>
      </c>
      <c r="I85" s="9" t="s">
        <v>1024</v>
      </c>
      <c r="J85" s="9"/>
    </row>
    <row r="86" spans="1:10" x14ac:dyDescent="0.3">
      <c r="A86" s="13">
        <v>45474</v>
      </c>
      <c r="B86" s="9" t="s">
        <v>209</v>
      </c>
      <c r="C86" s="9" t="s">
        <v>204</v>
      </c>
      <c r="D86" s="9" t="s">
        <v>878</v>
      </c>
      <c r="E86" s="9" t="s">
        <v>808</v>
      </c>
      <c r="F86" s="9">
        <v>2589</v>
      </c>
      <c r="G86" s="9" t="s">
        <v>810</v>
      </c>
      <c r="H86" s="9">
        <v>85</v>
      </c>
      <c r="I86" s="9" t="s">
        <v>1024</v>
      </c>
      <c r="J86" s="9"/>
    </row>
    <row r="87" spans="1:10" x14ac:dyDescent="0.3">
      <c r="A87" s="13">
        <v>45474</v>
      </c>
      <c r="B87" s="9" t="s">
        <v>210</v>
      </c>
      <c r="C87" s="9" t="s">
        <v>204</v>
      </c>
      <c r="D87" s="9" t="s">
        <v>879</v>
      </c>
      <c r="E87" s="9" t="s">
        <v>808</v>
      </c>
      <c r="F87" s="9">
        <v>2088</v>
      </c>
      <c r="G87" s="9" t="s">
        <v>810</v>
      </c>
      <c r="H87" s="9">
        <v>86</v>
      </c>
      <c r="I87" s="9" t="s">
        <v>1024</v>
      </c>
      <c r="J87" s="9"/>
    </row>
    <row r="88" spans="1:10" x14ac:dyDescent="0.3">
      <c r="A88" s="13">
        <v>45474</v>
      </c>
      <c r="B88" s="9" t="s">
        <v>211</v>
      </c>
      <c r="C88" s="9" t="s">
        <v>204</v>
      </c>
      <c r="D88" s="9" t="s">
        <v>880</v>
      </c>
      <c r="E88" s="9" t="s">
        <v>808</v>
      </c>
      <c r="F88" s="9">
        <v>5000</v>
      </c>
      <c r="G88" s="9" t="s">
        <v>810</v>
      </c>
      <c r="H88" s="9">
        <v>87</v>
      </c>
      <c r="I88" s="9" t="s">
        <v>1024</v>
      </c>
      <c r="J88" s="9"/>
    </row>
    <row r="89" spans="1:10" x14ac:dyDescent="0.3">
      <c r="A89" s="13">
        <v>45474</v>
      </c>
      <c r="B89" s="9" t="s">
        <v>211</v>
      </c>
      <c r="C89" s="9" t="s">
        <v>204</v>
      </c>
      <c r="D89" s="9" t="s">
        <v>880</v>
      </c>
      <c r="E89" s="9" t="s">
        <v>808</v>
      </c>
      <c r="F89" s="9">
        <v>5000</v>
      </c>
      <c r="G89" s="9" t="s">
        <v>810</v>
      </c>
      <c r="H89" s="9">
        <v>88</v>
      </c>
      <c r="I89" s="9" t="s">
        <v>1024</v>
      </c>
      <c r="J89" s="9"/>
    </row>
    <row r="90" spans="1:10" x14ac:dyDescent="0.3">
      <c r="A90" s="13">
        <v>45474</v>
      </c>
      <c r="B90" s="9" t="s">
        <v>211</v>
      </c>
      <c r="C90" s="9" t="s">
        <v>204</v>
      </c>
      <c r="D90" s="9" t="s">
        <v>880</v>
      </c>
      <c r="E90" s="9" t="s">
        <v>808</v>
      </c>
      <c r="F90" s="9">
        <v>3739</v>
      </c>
      <c r="G90" s="9" t="s">
        <v>810</v>
      </c>
      <c r="H90" s="9">
        <v>89</v>
      </c>
      <c r="I90" s="9" t="s">
        <v>1024</v>
      </c>
      <c r="J90" s="9"/>
    </row>
    <row r="91" spans="1:10" x14ac:dyDescent="0.3">
      <c r="A91" s="13">
        <v>45474</v>
      </c>
      <c r="B91" s="9" t="s">
        <v>211</v>
      </c>
      <c r="C91" s="9" t="s">
        <v>204</v>
      </c>
      <c r="D91" s="9" t="s">
        <v>880</v>
      </c>
      <c r="E91" s="9" t="s">
        <v>808</v>
      </c>
      <c r="F91" s="9">
        <v>5000</v>
      </c>
      <c r="G91" s="9" t="s">
        <v>810</v>
      </c>
      <c r="H91" s="9">
        <v>90</v>
      </c>
      <c r="I91" s="9" t="s">
        <v>1024</v>
      </c>
      <c r="J91" s="9"/>
    </row>
    <row r="92" spans="1:10" x14ac:dyDescent="0.3">
      <c r="A92" s="13">
        <v>45474</v>
      </c>
      <c r="B92" s="9" t="s">
        <v>216</v>
      </c>
      <c r="C92" s="9" t="s">
        <v>204</v>
      </c>
      <c r="D92" s="9" t="s">
        <v>881</v>
      </c>
      <c r="E92" s="9" t="s">
        <v>808</v>
      </c>
      <c r="F92" s="9">
        <v>3999</v>
      </c>
      <c r="G92" s="9" t="s">
        <v>810</v>
      </c>
      <c r="H92" s="9">
        <v>91</v>
      </c>
      <c r="I92" s="9" t="s">
        <v>1024</v>
      </c>
      <c r="J92" s="9"/>
    </row>
    <row r="93" spans="1:10" x14ac:dyDescent="0.3">
      <c r="A93" s="13">
        <v>45474</v>
      </c>
      <c r="B93" s="9" t="s">
        <v>216</v>
      </c>
      <c r="C93" s="9" t="s">
        <v>204</v>
      </c>
      <c r="D93" s="9" t="s">
        <v>881</v>
      </c>
      <c r="E93" s="9" t="s">
        <v>808</v>
      </c>
      <c r="F93" s="9">
        <v>3607</v>
      </c>
      <c r="G93" s="9" t="s">
        <v>810</v>
      </c>
      <c r="H93" s="9">
        <v>92</v>
      </c>
      <c r="I93" s="9" t="s">
        <v>1024</v>
      </c>
      <c r="J93" s="9"/>
    </row>
    <row r="94" spans="1:10" x14ac:dyDescent="0.3">
      <c r="A94" s="13">
        <v>45474</v>
      </c>
      <c r="B94" s="9" t="s">
        <v>221</v>
      </c>
      <c r="C94" s="9" t="s">
        <v>204</v>
      </c>
      <c r="D94" s="9" t="s">
        <v>882</v>
      </c>
      <c r="E94" s="9" t="s">
        <v>808</v>
      </c>
      <c r="F94" s="9">
        <v>523</v>
      </c>
      <c r="G94" s="9" t="s">
        <v>810</v>
      </c>
      <c r="H94" s="9">
        <v>93</v>
      </c>
      <c r="I94" s="9" t="s">
        <v>1024</v>
      </c>
      <c r="J94" s="9"/>
    </row>
    <row r="95" spans="1:10" x14ac:dyDescent="0.3">
      <c r="A95" s="13">
        <v>45474</v>
      </c>
      <c r="B95" s="9" t="s">
        <v>221</v>
      </c>
      <c r="C95" s="9" t="s">
        <v>204</v>
      </c>
      <c r="D95" s="9" t="s">
        <v>882</v>
      </c>
      <c r="E95" s="9" t="s">
        <v>808</v>
      </c>
      <c r="F95" s="9">
        <v>261</v>
      </c>
      <c r="G95" s="9" t="s">
        <v>810</v>
      </c>
      <c r="H95" s="9">
        <v>94</v>
      </c>
      <c r="I95" s="9" t="s">
        <v>1024</v>
      </c>
      <c r="J95" s="9"/>
    </row>
    <row r="96" spans="1:10" x14ac:dyDescent="0.3">
      <c r="A96" s="13">
        <v>45474</v>
      </c>
      <c r="B96" s="9" t="s">
        <v>227</v>
      </c>
      <c r="C96" s="9" t="s">
        <v>204</v>
      </c>
      <c r="D96" s="9" t="s">
        <v>228</v>
      </c>
      <c r="E96" s="9" t="s">
        <v>808</v>
      </c>
      <c r="F96" s="9">
        <v>3892</v>
      </c>
      <c r="G96" s="9" t="s">
        <v>810</v>
      </c>
      <c r="H96" s="9">
        <v>95</v>
      </c>
      <c r="I96" s="9" t="s">
        <v>1024</v>
      </c>
      <c r="J96" s="9"/>
    </row>
    <row r="97" spans="1:10" x14ac:dyDescent="0.3">
      <c r="A97" s="13">
        <v>45474</v>
      </c>
      <c r="B97" s="9" t="s">
        <v>237</v>
      </c>
      <c r="C97" s="9" t="s">
        <v>204</v>
      </c>
      <c r="D97" s="9" t="s">
        <v>883</v>
      </c>
      <c r="E97" s="9" t="s">
        <v>808</v>
      </c>
      <c r="F97" s="9">
        <v>3980</v>
      </c>
      <c r="G97" s="9" t="s">
        <v>810</v>
      </c>
      <c r="H97" s="9">
        <v>96</v>
      </c>
      <c r="I97" s="9" t="s">
        <v>1024</v>
      </c>
      <c r="J97" s="9"/>
    </row>
    <row r="98" spans="1:10" x14ac:dyDescent="0.3">
      <c r="A98" s="13">
        <v>45474</v>
      </c>
      <c r="B98" s="9" t="s">
        <v>241</v>
      </c>
      <c r="C98" s="9" t="s">
        <v>240</v>
      </c>
      <c r="D98" s="9" t="s">
        <v>884</v>
      </c>
      <c r="E98" s="9" t="s">
        <v>808</v>
      </c>
      <c r="F98" s="9">
        <v>2191</v>
      </c>
      <c r="G98" s="9" t="s">
        <v>810</v>
      </c>
      <c r="H98" s="9">
        <v>97</v>
      </c>
      <c r="I98" s="9" t="s">
        <v>1024</v>
      </c>
      <c r="J98" s="9"/>
    </row>
    <row r="99" spans="1:10" x14ac:dyDescent="0.3">
      <c r="A99" s="13">
        <v>45474</v>
      </c>
      <c r="B99" s="9" t="s">
        <v>242</v>
      </c>
      <c r="C99" s="9" t="s">
        <v>240</v>
      </c>
      <c r="D99" s="9" t="s">
        <v>885</v>
      </c>
      <c r="E99" s="9" t="s">
        <v>808</v>
      </c>
      <c r="F99" s="9">
        <v>2864</v>
      </c>
      <c r="G99" s="9" t="s">
        <v>810</v>
      </c>
      <c r="H99" s="9">
        <v>98</v>
      </c>
      <c r="I99" s="9" t="s">
        <v>1024</v>
      </c>
      <c r="J99" s="9"/>
    </row>
    <row r="100" spans="1:10" x14ac:dyDescent="0.3">
      <c r="A100" s="13">
        <v>45474</v>
      </c>
      <c r="B100" s="9" t="s">
        <v>242</v>
      </c>
      <c r="C100" s="9" t="s">
        <v>240</v>
      </c>
      <c r="D100" s="9" t="s">
        <v>885</v>
      </c>
      <c r="E100" s="9" t="s">
        <v>808</v>
      </c>
      <c r="F100" s="9">
        <v>2876</v>
      </c>
      <c r="G100" s="9" t="s">
        <v>810</v>
      </c>
      <c r="H100" s="9">
        <v>99</v>
      </c>
      <c r="I100" s="9" t="s">
        <v>1024</v>
      </c>
      <c r="J100" s="9"/>
    </row>
    <row r="101" spans="1:10" x14ac:dyDescent="0.3">
      <c r="A101" s="13">
        <v>45474</v>
      </c>
      <c r="B101" s="9" t="s">
        <v>243</v>
      </c>
      <c r="C101" s="9" t="s">
        <v>240</v>
      </c>
      <c r="D101" s="9" t="s">
        <v>886</v>
      </c>
      <c r="E101" s="9" t="s">
        <v>808</v>
      </c>
      <c r="F101" s="9">
        <v>3000</v>
      </c>
      <c r="G101" s="9" t="s">
        <v>810</v>
      </c>
      <c r="H101" s="9">
        <v>100</v>
      </c>
      <c r="I101" s="9" t="s">
        <v>1024</v>
      </c>
      <c r="J101" s="9"/>
    </row>
    <row r="102" spans="1:10" x14ac:dyDescent="0.3">
      <c r="A102" s="13">
        <v>45474</v>
      </c>
      <c r="B102" s="9" t="s">
        <v>244</v>
      </c>
      <c r="C102" s="9" t="s">
        <v>240</v>
      </c>
      <c r="D102" s="9" t="s">
        <v>245</v>
      </c>
      <c r="E102" s="9" t="s">
        <v>808</v>
      </c>
      <c r="F102" s="9">
        <v>840</v>
      </c>
      <c r="G102" s="9" t="s">
        <v>810</v>
      </c>
      <c r="H102" s="9">
        <v>101</v>
      </c>
      <c r="I102" s="9" t="s">
        <v>1024</v>
      </c>
      <c r="J102" s="9"/>
    </row>
    <row r="103" spans="1:10" x14ac:dyDescent="0.3">
      <c r="A103" s="13">
        <v>45474</v>
      </c>
      <c r="B103" s="9" t="s">
        <v>246</v>
      </c>
      <c r="C103" s="9" t="s">
        <v>240</v>
      </c>
      <c r="D103" s="9" t="s">
        <v>887</v>
      </c>
      <c r="E103" s="9" t="s">
        <v>808</v>
      </c>
      <c r="F103" s="9">
        <v>5000</v>
      </c>
      <c r="G103" s="9" t="s">
        <v>810</v>
      </c>
      <c r="H103" s="9">
        <v>102</v>
      </c>
      <c r="I103" s="9" t="s">
        <v>1024</v>
      </c>
      <c r="J103" s="9"/>
    </row>
    <row r="104" spans="1:10" x14ac:dyDescent="0.3">
      <c r="A104" s="13">
        <v>45474</v>
      </c>
      <c r="B104" s="9" t="s">
        <v>246</v>
      </c>
      <c r="C104" s="9" t="s">
        <v>240</v>
      </c>
      <c r="D104" s="9" t="s">
        <v>887</v>
      </c>
      <c r="E104" s="9" t="s">
        <v>808</v>
      </c>
      <c r="F104" s="9">
        <v>2197</v>
      </c>
      <c r="G104" s="9" t="s">
        <v>810</v>
      </c>
      <c r="H104" s="9">
        <v>103</v>
      </c>
      <c r="I104" s="9" t="s">
        <v>1024</v>
      </c>
      <c r="J104" s="9"/>
    </row>
    <row r="105" spans="1:10" x14ac:dyDescent="0.3">
      <c r="A105" s="13">
        <v>45474</v>
      </c>
      <c r="B105" s="9" t="s">
        <v>247</v>
      </c>
      <c r="C105" s="9" t="s">
        <v>240</v>
      </c>
      <c r="D105" s="9" t="s">
        <v>888</v>
      </c>
      <c r="E105" s="9" t="s">
        <v>808</v>
      </c>
      <c r="F105" s="9">
        <v>2000</v>
      </c>
      <c r="G105" s="9" t="s">
        <v>810</v>
      </c>
      <c r="H105" s="9">
        <v>104</v>
      </c>
      <c r="I105" s="9" t="s">
        <v>1024</v>
      </c>
      <c r="J105" s="9"/>
    </row>
    <row r="106" spans="1:10" x14ac:dyDescent="0.3">
      <c r="A106" s="13">
        <v>45474</v>
      </c>
      <c r="B106" s="9" t="s">
        <v>247</v>
      </c>
      <c r="C106" s="9" t="s">
        <v>240</v>
      </c>
      <c r="D106" s="9" t="s">
        <v>888</v>
      </c>
      <c r="E106" s="9" t="s">
        <v>808</v>
      </c>
      <c r="F106" s="9">
        <v>1984</v>
      </c>
      <c r="G106" s="9" t="s">
        <v>810</v>
      </c>
      <c r="H106" s="9">
        <v>105</v>
      </c>
      <c r="I106" s="9" t="s">
        <v>1024</v>
      </c>
      <c r="J106" s="9"/>
    </row>
    <row r="107" spans="1:10" x14ac:dyDescent="0.3">
      <c r="A107" s="13">
        <v>45474</v>
      </c>
      <c r="B107" s="9" t="s">
        <v>251</v>
      </c>
      <c r="C107" s="9" t="s">
        <v>249</v>
      </c>
      <c r="D107" s="9" t="s">
        <v>889</v>
      </c>
      <c r="E107" s="9" t="s">
        <v>808</v>
      </c>
      <c r="F107" s="9">
        <v>1000</v>
      </c>
      <c r="G107" s="9" t="s">
        <v>810</v>
      </c>
      <c r="H107" s="9">
        <v>106</v>
      </c>
      <c r="I107" s="9" t="s">
        <v>1024</v>
      </c>
      <c r="J107" s="9"/>
    </row>
    <row r="108" spans="1:10" x14ac:dyDescent="0.3">
      <c r="A108" s="13">
        <v>45474</v>
      </c>
      <c r="B108" s="9" t="s">
        <v>256</v>
      </c>
      <c r="C108" s="9" t="s">
        <v>249</v>
      </c>
      <c r="D108" s="9" t="s">
        <v>890</v>
      </c>
      <c r="E108" s="9" t="s">
        <v>808</v>
      </c>
      <c r="F108" s="9">
        <v>1980</v>
      </c>
      <c r="G108" s="9" t="s">
        <v>810</v>
      </c>
      <c r="H108" s="9">
        <v>107</v>
      </c>
      <c r="I108" s="9" t="s">
        <v>1024</v>
      </c>
      <c r="J108" s="9"/>
    </row>
    <row r="109" spans="1:10" x14ac:dyDescent="0.3">
      <c r="A109" s="13">
        <v>45474</v>
      </c>
      <c r="B109" s="9" t="s">
        <v>278</v>
      </c>
      <c r="C109" s="9" t="s">
        <v>279</v>
      </c>
      <c r="D109" s="9" t="s">
        <v>280</v>
      </c>
      <c r="E109" s="9" t="s">
        <v>808</v>
      </c>
      <c r="F109" s="9">
        <v>850</v>
      </c>
      <c r="G109" s="9" t="s">
        <v>810</v>
      </c>
      <c r="H109" s="9">
        <v>108</v>
      </c>
      <c r="I109" s="9" t="s">
        <v>1024</v>
      </c>
      <c r="J109" s="9"/>
    </row>
    <row r="110" spans="1:10" x14ac:dyDescent="0.3">
      <c r="A110" s="13">
        <v>45474</v>
      </c>
      <c r="B110" s="9" t="s">
        <v>281</v>
      </c>
      <c r="C110" s="9" t="s">
        <v>279</v>
      </c>
      <c r="D110" s="9" t="s">
        <v>282</v>
      </c>
      <c r="E110" s="9" t="s">
        <v>808</v>
      </c>
      <c r="F110" s="9">
        <v>2895</v>
      </c>
      <c r="G110" s="9" t="s">
        <v>810</v>
      </c>
      <c r="H110" s="9">
        <v>109</v>
      </c>
      <c r="I110" s="9" t="s">
        <v>1024</v>
      </c>
      <c r="J110" s="9"/>
    </row>
    <row r="111" spans="1:10" x14ac:dyDescent="0.3">
      <c r="A111" s="13">
        <v>45474</v>
      </c>
      <c r="B111" s="9" t="s">
        <v>281</v>
      </c>
      <c r="C111" s="9" t="s">
        <v>279</v>
      </c>
      <c r="D111" s="9" t="s">
        <v>282</v>
      </c>
      <c r="E111" s="9" t="s">
        <v>808</v>
      </c>
      <c r="F111" s="9">
        <v>1664</v>
      </c>
      <c r="G111" s="9" t="s">
        <v>810</v>
      </c>
      <c r="H111" s="9">
        <v>110</v>
      </c>
      <c r="I111" s="9" t="s">
        <v>1024</v>
      </c>
      <c r="J111" s="9"/>
    </row>
    <row r="112" spans="1:10" x14ac:dyDescent="0.3">
      <c r="A112" s="13">
        <v>45474</v>
      </c>
      <c r="B112" s="9" t="s">
        <v>281</v>
      </c>
      <c r="C112" s="9" t="s">
        <v>279</v>
      </c>
      <c r="D112" s="9" t="s">
        <v>282</v>
      </c>
      <c r="E112" s="9" t="s">
        <v>808</v>
      </c>
      <c r="F112" s="9">
        <v>185</v>
      </c>
      <c r="G112" s="9" t="s">
        <v>810</v>
      </c>
      <c r="H112" s="9">
        <v>111</v>
      </c>
      <c r="I112" s="9" t="s">
        <v>1024</v>
      </c>
      <c r="J112" s="9"/>
    </row>
    <row r="113" spans="1:10" x14ac:dyDescent="0.3">
      <c r="A113" s="13">
        <v>45474</v>
      </c>
      <c r="B113" s="9" t="s">
        <v>283</v>
      </c>
      <c r="C113" s="9" t="s">
        <v>279</v>
      </c>
      <c r="D113" s="9" t="s">
        <v>284</v>
      </c>
      <c r="E113" s="9" t="s">
        <v>808</v>
      </c>
      <c r="F113" s="9">
        <v>1051</v>
      </c>
      <c r="G113" s="9" t="s">
        <v>810</v>
      </c>
      <c r="H113" s="9">
        <v>112</v>
      </c>
      <c r="I113" s="9" t="s">
        <v>1024</v>
      </c>
      <c r="J113" s="9"/>
    </row>
    <row r="114" spans="1:10" x14ac:dyDescent="0.3">
      <c r="A114" s="13">
        <v>45474</v>
      </c>
      <c r="B114" s="9" t="s">
        <v>283</v>
      </c>
      <c r="C114" s="9" t="s">
        <v>279</v>
      </c>
      <c r="D114" s="9" t="s">
        <v>284</v>
      </c>
      <c r="E114" s="9" t="s">
        <v>808</v>
      </c>
      <c r="F114" s="9">
        <v>3000</v>
      </c>
      <c r="G114" s="9" t="s">
        <v>810</v>
      </c>
      <c r="H114" s="9">
        <v>113</v>
      </c>
      <c r="I114" s="9" t="s">
        <v>1024</v>
      </c>
      <c r="J114" s="9"/>
    </row>
    <row r="115" spans="1:10" x14ac:dyDescent="0.3">
      <c r="A115" s="13">
        <v>45474</v>
      </c>
      <c r="B115" s="9" t="s">
        <v>293</v>
      </c>
      <c r="C115" s="9" t="s">
        <v>279</v>
      </c>
      <c r="D115" s="9" t="s">
        <v>294</v>
      </c>
      <c r="E115" s="9" t="s">
        <v>808</v>
      </c>
      <c r="F115" s="9">
        <v>1607</v>
      </c>
      <c r="G115" s="9" t="s">
        <v>810</v>
      </c>
      <c r="H115" s="9">
        <v>114</v>
      </c>
      <c r="I115" s="9" t="s">
        <v>1024</v>
      </c>
      <c r="J115" s="9"/>
    </row>
    <row r="116" spans="1:10" x14ac:dyDescent="0.3">
      <c r="A116" s="13">
        <v>45474</v>
      </c>
      <c r="B116" s="9" t="s">
        <v>301</v>
      </c>
      <c r="C116" s="9" t="s">
        <v>279</v>
      </c>
      <c r="D116" s="9" t="s">
        <v>302</v>
      </c>
      <c r="E116" s="9" t="s">
        <v>808</v>
      </c>
      <c r="F116" s="9">
        <v>2798</v>
      </c>
      <c r="G116" s="9" t="s">
        <v>810</v>
      </c>
      <c r="H116" s="9">
        <v>115</v>
      </c>
      <c r="I116" s="9" t="s">
        <v>1024</v>
      </c>
      <c r="J116" s="9"/>
    </row>
    <row r="117" spans="1:10" x14ac:dyDescent="0.3">
      <c r="A117" s="13">
        <v>45474</v>
      </c>
      <c r="B117" s="9" t="s">
        <v>303</v>
      </c>
      <c r="C117" s="9" t="s">
        <v>279</v>
      </c>
      <c r="D117" s="9" t="s">
        <v>304</v>
      </c>
      <c r="E117" s="9" t="s">
        <v>808</v>
      </c>
      <c r="F117" s="9">
        <v>2875</v>
      </c>
      <c r="G117" s="9" t="s">
        <v>810</v>
      </c>
      <c r="H117" s="9">
        <v>116</v>
      </c>
      <c r="I117" s="9" t="s">
        <v>1024</v>
      </c>
      <c r="J117" s="9"/>
    </row>
    <row r="118" spans="1:10" x14ac:dyDescent="0.3">
      <c r="A118" s="13">
        <v>45474</v>
      </c>
      <c r="B118" s="9" t="s">
        <v>305</v>
      </c>
      <c r="C118" s="9" t="s">
        <v>279</v>
      </c>
      <c r="D118" s="9" t="s">
        <v>306</v>
      </c>
      <c r="E118" s="9" t="s">
        <v>808</v>
      </c>
      <c r="F118" s="9">
        <v>710</v>
      </c>
      <c r="G118" s="9" t="s">
        <v>810</v>
      </c>
      <c r="H118" s="9">
        <v>117</v>
      </c>
      <c r="I118" s="9" t="s">
        <v>1024</v>
      </c>
      <c r="J118" s="9"/>
    </row>
    <row r="119" spans="1:10" x14ac:dyDescent="0.3">
      <c r="A119" s="13">
        <v>45474</v>
      </c>
      <c r="B119" s="9" t="s">
        <v>305</v>
      </c>
      <c r="C119" s="9" t="s">
        <v>279</v>
      </c>
      <c r="D119" s="9" t="s">
        <v>306</v>
      </c>
      <c r="E119" s="9" t="s">
        <v>808</v>
      </c>
      <c r="F119" s="9">
        <v>3000</v>
      </c>
      <c r="G119" s="9" t="s">
        <v>810</v>
      </c>
      <c r="H119" s="9">
        <v>118</v>
      </c>
      <c r="I119" s="9" t="s">
        <v>1024</v>
      </c>
      <c r="J119" s="9"/>
    </row>
    <row r="120" spans="1:10" x14ac:dyDescent="0.3">
      <c r="A120" s="13">
        <v>45474</v>
      </c>
      <c r="B120" s="9" t="s">
        <v>350</v>
      </c>
      <c r="C120" s="9" t="s">
        <v>351</v>
      </c>
      <c r="D120" s="9" t="s">
        <v>891</v>
      </c>
      <c r="E120" s="9" t="s">
        <v>808</v>
      </c>
      <c r="F120" s="9">
        <v>22</v>
      </c>
      <c r="G120" s="9" t="s">
        <v>810</v>
      </c>
      <c r="H120" s="9">
        <v>5001</v>
      </c>
      <c r="I120" s="9" t="s">
        <v>1094</v>
      </c>
      <c r="J120" s="9"/>
    </row>
    <row r="121" spans="1:10" x14ac:dyDescent="0.3">
      <c r="A121" s="13">
        <v>45474</v>
      </c>
      <c r="B121" s="9" t="s">
        <v>350</v>
      </c>
      <c r="C121" s="9" t="s">
        <v>351</v>
      </c>
      <c r="D121" s="9" t="s">
        <v>891</v>
      </c>
      <c r="E121" s="9" t="s">
        <v>808</v>
      </c>
      <c r="F121" s="9">
        <v>1452</v>
      </c>
      <c r="G121" s="9" t="s">
        <v>810</v>
      </c>
      <c r="H121" s="9">
        <v>5002</v>
      </c>
      <c r="I121" s="9" t="s">
        <v>1094</v>
      </c>
      <c r="J121" s="9"/>
    </row>
    <row r="122" spans="1:10" x14ac:dyDescent="0.3">
      <c r="A122" s="13">
        <v>45474</v>
      </c>
      <c r="B122" s="9" t="s">
        <v>352</v>
      </c>
      <c r="C122" s="9" t="s">
        <v>351</v>
      </c>
      <c r="D122" s="9" t="s">
        <v>892</v>
      </c>
      <c r="E122" s="9" t="s">
        <v>808</v>
      </c>
      <c r="F122" s="9">
        <v>1223</v>
      </c>
      <c r="G122" s="9" t="s">
        <v>810</v>
      </c>
      <c r="H122" s="9">
        <v>5003</v>
      </c>
      <c r="I122" s="9" t="s">
        <v>1094</v>
      </c>
      <c r="J122" s="9"/>
    </row>
    <row r="123" spans="1:10" x14ac:dyDescent="0.3">
      <c r="A123" s="13">
        <v>45474</v>
      </c>
      <c r="B123" s="9" t="s">
        <v>353</v>
      </c>
      <c r="C123" s="9" t="s">
        <v>351</v>
      </c>
      <c r="D123" s="9" t="s">
        <v>893</v>
      </c>
      <c r="E123" s="9" t="s">
        <v>808</v>
      </c>
      <c r="F123" s="9">
        <v>1</v>
      </c>
      <c r="G123" s="9" t="s">
        <v>810</v>
      </c>
      <c r="H123" s="9">
        <v>5004</v>
      </c>
      <c r="I123" s="9" t="s">
        <v>1094</v>
      </c>
      <c r="J123" s="9"/>
    </row>
    <row r="124" spans="1:10" x14ac:dyDescent="0.3">
      <c r="A124" s="13">
        <v>45474</v>
      </c>
      <c r="B124" s="9" t="s">
        <v>353</v>
      </c>
      <c r="C124" s="9" t="s">
        <v>351</v>
      </c>
      <c r="D124" s="9" t="s">
        <v>893</v>
      </c>
      <c r="E124" s="9" t="s">
        <v>808</v>
      </c>
      <c r="F124" s="9">
        <v>3000</v>
      </c>
      <c r="G124" s="9" t="s">
        <v>810</v>
      </c>
      <c r="H124" s="9">
        <v>5005</v>
      </c>
      <c r="I124" s="9" t="s">
        <v>1094</v>
      </c>
      <c r="J124" s="9"/>
    </row>
    <row r="125" spans="1:10" x14ac:dyDescent="0.3">
      <c r="A125" s="13">
        <v>45474</v>
      </c>
      <c r="B125" s="9" t="s">
        <v>354</v>
      </c>
      <c r="C125" s="9" t="s">
        <v>351</v>
      </c>
      <c r="D125" s="9" t="s">
        <v>894</v>
      </c>
      <c r="E125" s="9" t="s">
        <v>808</v>
      </c>
      <c r="F125" s="9">
        <v>1412</v>
      </c>
      <c r="G125" s="9" t="s">
        <v>810</v>
      </c>
      <c r="H125" s="9">
        <v>5006</v>
      </c>
      <c r="I125" s="9" t="s">
        <v>1094</v>
      </c>
      <c r="J125" s="9"/>
    </row>
    <row r="126" spans="1:10" x14ac:dyDescent="0.3">
      <c r="A126" s="13">
        <v>45474</v>
      </c>
      <c r="B126" s="9" t="s">
        <v>354</v>
      </c>
      <c r="C126" s="9" t="s">
        <v>351</v>
      </c>
      <c r="D126" s="9" t="s">
        <v>894</v>
      </c>
      <c r="E126" s="9" t="s">
        <v>808</v>
      </c>
      <c r="F126" s="9">
        <v>3000</v>
      </c>
      <c r="G126" s="9" t="s">
        <v>810</v>
      </c>
      <c r="H126" s="9">
        <v>5007</v>
      </c>
      <c r="I126" s="9" t="s">
        <v>1094</v>
      </c>
      <c r="J126" s="9"/>
    </row>
    <row r="127" spans="1:10" x14ac:dyDescent="0.3">
      <c r="A127" s="13">
        <v>45474</v>
      </c>
      <c r="B127" s="9" t="s">
        <v>355</v>
      </c>
      <c r="C127" s="9" t="s">
        <v>351</v>
      </c>
      <c r="D127" s="9" t="s">
        <v>895</v>
      </c>
      <c r="E127" s="9" t="s">
        <v>808</v>
      </c>
      <c r="F127" s="9">
        <v>949</v>
      </c>
      <c r="G127" s="9" t="s">
        <v>810</v>
      </c>
      <c r="H127" s="9">
        <v>5008</v>
      </c>
      <c r="I127" s="9" t="s">
        <v>1094</v>
      </c>
      <c r="J127" s="9"/>
    </row>
    <row r="128" spans="1:10" x14ac:dyDescent="0.3">
      <c r="A128" s="13">
        <v>45474</v>
      </c>
      <c r="B128" s="9" t="s">
        <v>356</v>
      </c>
      <c r="C128" s="9" t="s">
        <v>351</v>
      </c>
      <c r="D128" s="9" t="s">
        <v>357</v>
      </c>
      <c r="E128" s="9" t="s">
        <v>808</v>
      </c>
      <c r="F128" s="9">
        <v>650</v>
      </c>
      <c r="G128" s="9" t="s">
        <v>810</v>
      </c>
      <c r="H128" s="9">
        <v>5009</v>
      </c>
      <c r="I128" s="9" t="s">
        <v>1094</v>
      </c>
      <c r="J128" s="9"/>
    </row>
    <row r="129" spans="1:10" x14ac:dyDescent="0.3">
      <c r="A129" s="13">
        <v>45474</v>
      </c>
      <c r="B129" s="9" t="s">
        <v>358</v>
      </c>
      <c r="C129" s="9" t="s">
        <v>351</v>
      </c>
      <c r="D129" s="9" t="s">
        <v>359</v>
      </c>
      <c r="E129" s="9" t="s">
        <v>808</v>
      </c>
      <c r="F129" s="9">
        <v>864</v>
      </c>
      <c r="G129" s="9" t="s">
        <v>810</v>
      </c>
      <c r="H129" s="9">
        <v>5010</v>
      </c>
      <c r="I129" s="9" t="s">
        <v>1094</v>
      </c>
      <c r="J129" s="9"/>
    </row>
    <row r="130" spans="1:10" x14ac:dyDescent="0.3">
      <c r="A130" s="13">
        <v>45474</v>
      </c>
      <c r="B130" s="9" t="s">
        <v>360</v>
      </c>
      <c r="C130" s="9" t="s">
        <v>351</v>
      </c>
      <c r="D130" s="9" t="s">
        <v>361</v>
      </c>
      <c r="E130" s="9" t="s">
        <v>808</v>
      </c>
      <c r="F130" s="9">
        <v>1401</v>
      </c>
      <c r="G130" s="9" t="s">
        <v>810</v>
      </c>
      <c r="H130" s="9">
        <v>5011</v>
      </c>
      <c r="I130" s="9" t="s">
        <v>1094</v>
      </c>
      <c r="J130" s="9"/>
    </row>
    <row r="131" spans="1:10" x14ac:dyDescent="0.3">
      <c r="A131" s="13">
        <v>45474</v>
      </c>
      <c r="B131" s="9" t="s">
        <v>360</v>
      </c>
      <c r="C131" s="9" t="s">
        <v>351</v>
      </c>
      <c r="D131" s="9" t="s">
        <v>361</v>
      </c>
      <c r="E131" s="9" t="s">
        <v>808</v>
      </c>
      <c r="F131" s="9">
        <v>1784</v>
      </c>
      <c r="G131" s="9" t="s">
        <v>810</v>
      </c>
      <c r="H131" s="9">
        <v>5012</v>
      </c>
      <c r="I131" s="9" t="s">
        <v>1094</v>
      </c>
      <c r="J131" s="9"/>
    </row>
    <row r="132" spans="1:10" x14ac:dyDescent="0.3">
      <c r="A132" s="13">
        <v>45474</v>
      </c>
      <c r="B132" s="9" t="s">
        <v>362</v>
      </c>
      <c r="C132" s="9" t="s">
        <v>351</v>
      </c>
      <c r="D132" s="9" t="s">
        <v>896</v>
      </c>
      <c r="E132" s="9" t="s">
        <v>808</v>
      </c>
      <c r="F132" s="9">
        <v>356</v>
      </c>
      <c r="G132" s="9" t="s">
        <v>810</v>
      </c>
      <c r="H132" s="9">
        <v>5013</v>
      </c>
      <c r="I132" s="9" t="s">
        <v>1094</v>
      </c>
      <c r="J132" s="9"/>
    </row>
    <row r="133" spans="1:10" x14ac:dyDescent="0.3">
      <c r="A133" s="13">
        <v>45474</v>
      </c>
      <c r="B133" s="9" t="s">
        <v>362</v>
      </c>
      <c r="C133" s="9" t="s">
        <v>351</v>
      </c>
      <c r="D133" s="9" t="s">
        <v>896</v>
      </c>
      <c r="E133" s="9" t="s">
        <v>808</v>
      </c>
      <c r="F133" s="9">
        <v>2000</v>
      </c>
      <c r="G133" s="9" t="s">
        <v>810</v>
      </c>
      <c r="H133" s="9">
        <v>5014</v>
      </c>
      <c r="I133" s="9" t="s">
        <v>1094</v>
      </c>
      <c r="J133" s="9"/>
    </row>
    <row r="134" spans="1:10" x14ac:dyDescent="0.3">
      <c r="A134" s="13">
        <v>45474</v>
      </c>
      <c r="B134" s="9" t="s">
        <v>381</v>
      </c>
      <c r="C134" s="9" t="s">
        <v>379</v>
      </c>
      <c r="D134" s="9" t="s">
        <v>897</v>
      </c>
      <c r="E134" s="9" t="s">
        <v>808</v>
      </c>
      <c r="F134" s="9">
        <v>420</v>
      </c>
      <c r="G134" s="9" t="s">
        <v>810</v>
      </c>
      <c r="H134" s="9">
        <v>5015</v>
      </c>
      <c r="I134" s="9" t="s">
        <v>1094</v>
      </c>
      <c r="J134" s="9"/>
    </row>
    <row r="135" spans="1:10" x14ac:dyDescent="0.3">
      <c r="A135" s="13">
        <v>45474</v>
      </c>
      <c r="B135" s="9" t="s">
        <v>381</v>
      </c>
      <c r="C135" s="9" t="s">
        <v>379</v>
      </c>
      <c r="D135" s="9" t="s">
        <v>897</v>
      </c>
      <c r="E135" s="9" t="s">
        <v>808</v>
      </c>
      <c r="F135" s="9">
        <v>3000</v>
      </c>
      <c r="G135" s="9" t="s">
        <v>810</v>
      </c>
      <c r="H135" s="9">
        <v>5016</v>
      </c>
      <c r="I135" s="9" t="s">
        <v>1094</v>
      </c>
      <c r="J135" s="9"/>
    </row>
    <row r="136" spans="1:10" x14ac:dyDescent="0.3">
      <c r="A136" s="13">
        <v>45474</v>
      </c>
      <c r="B136" s="9" t="s">
        <v>499</v>
      </c>
      <c r="C136" s="9" t="s">
        <v>898</v>
      </c>
      <c r="D136" s="9" t="s">
        <v>899</v>
      </c>
      <c r="E136" s="9" t="s">
        <v>808</v>
      </c>
      <c r="F136" s="9">
        <v>2818</v>
      </c>
      <c r="G136" s="9" t="s">
        <v>810</v>
      </c>
      <c r="H136" s="9">
        <v>5017</v>
      </c>
      <c r="I136" s="9" t="s">
        <v>1094</v>
      </c>
      <c r="J136" s="9"/>
    </row>
    <row r="137" spans="1:10" x14ac:dyDescent="0.3">
      <c r="A137" s="13">
        <v>45474</v>
      </c>
      <c r="B137" s="9" t="s">
        <v>499</v>
      </c>
      <c r="C137" s="9" t="s">
        <v>898</v>
      </c>
      <c r="D137" s="9" t="s">
        <v>899</v>
      </c>
      <c r="E137" s="9" t="s">
        <v>808</v>
      </c>
      <c r="F137" s="9">
        <v>134</v>
      </c>
      <c r="G137" s="9" t="s">
        <v>810</v>
      </c>
      <c r="H137" s="9">
        <v>5018</v>
      </c>
      <c r="I137" s="9" t="s">
        <v>1094</v>
      </c>
      <c r="J137" s="9"/>
    </row>
    <row r="138" spans="1:10" x14ac:dyDescent="0.3">
      <c r="A138" s="13">
        <v>45474</v>
      </c>
      <c r="B138" s="9" t="s">
        <v>500</v>
      </c>
      <c r="C138" s="9" t="s">
        <v>898</v>
      </c>
      <c r="D138" s="9" t="s">
        <v>900</v>
      </c>
      <c r="E138" s="9" t="s">
        <v>808</v>
      </c>
      <c r="F138" s="9">
        <v>75</v>
      </c>
      <c r="G138" s="9" t="s">
        <v>810</v>
      </c>
      <c r="H138" s="9">
        <v>5019</v>
      </c>
      <c r="I138" s="9" t="s">
        <v>1094</v>
      </c>
      <c r="J138" s="9"/>
    </row>
    <row r="139" spans="1:10" x14ac:dyDescent="0.3">
      <c r="A139" s="13">
        <v>45475</v>
      </c>
      <c r="B139" s="9" t="s">
        <v>517</v>
      </c>
      <c r="C139" s="9" t="s">
        <v>994</v>
      </c>
      <c r="D139" s="9" t="s">
        <v>518</v>
      </c>
      <c r="E139" s="9" t="s">
        <v>991</v>
      </c>
      <c r="F139" s="9">
        <v>50</v>
      </c>
      <c r="G139" s="9" t="s">
        <v>992</v>
      </c>
      <c r="H139" s="9">
        <v>5020</v>
      </c>
      <c r="I139" s="9" t="s">
        <v>1094</v>
      </c>
      <c r="J139" s="9"/>
    </row>
    <row r="140" spans="1:10" x14ac:dyDescent="0.3">
      <c r="A140" s="13">
        <v>45475</v>
      </c>
      <c r="B140" s="9" t="s">
        <v>519</v>
      </c>
      <c r="C140" s="9" t="s">
        <v>994</v>
      </c>
      <c r="D140" s="9" t="s">
        <v>520</v>
      </c>
      <c r="E140" s="9" t="s">
        <v>991</v>
      </c>
      <c r="F140" s="9">
        <v>20</v>
      </c>
      <c r="G140" s="9" t="s">
        <v>992</v>
      </c>
      <c r="H140" s="9">
        <v>5021</v>
      </c>
      <c r="I140" s="9" t="s">
        <v>1094</v>
      </c>
      <c r="J140" s="9"/>
    </row>
    <row r="141" spans="1:10" x14ac:dyDescent="0.3">
      <c r="A141" s="13">
        <v>45475</v>
      </c>
      <c r="B141" s="9" t="s">
        <v>517</v>
      </c>
      <c r="C141" s="9" t="s">
        <v>994</v>
      </c>
      <c r="D141" s="9" t="s">
        <v>518</v>
      </c>
      <c r="E141" s="9" t="s">
        <v>808</v>
      </c>
      <c r="F141" s="9">
        <v>2845</v>
      </c>
      <c r="G141" s="9" t="s">
        <v>810</v>
      </c>
      <c r="H141" s="9">
        <v>5022</v>
      </c>
      <c r="I141" s="9" t="s">
        <v>1094</v>
      </c>
      <c r="J141" s="9"/>
    </row>
    <row r="142" spans="1:10" x14ac:dyDescent="0.3">
      <c r="A142" s="13">
        <v>45475</v>
      </c>
      <c r="B142" s="9" t="s">
        <v>519</v>
      </c>
      <c r="C142" s="9" t="s">
        <v>994</v>
      </c>
      <c r="D142" s="9" t="s">
        <v>520</v>
      </c>
      <c r="E142" s="9" t="s">
        <v>808</v>
      </c>
      <c r="F142" s="9">
        <v>2475</v>
      </c>
      <c r="G142" s="9" t="s">
        <v>810</v>
      </c>
      <c r="H142" s="9">
        <v>5023</v>
      </c>
      <c r="I142" s="9" t="s">
        <v>1094</v>
      </c>
      <c r="J142" s="9"/>
    </row>
    <row r="143" spans="1:10" x14ac:dyDescent="0.3">
      <c r="A143" s="13">
        <v>45475</v>
      </c>
      <c r="B143" s="9" t="s">
        <v>517</v>
      </c>
      <c r="C143" s="9" t="s">
        <v>994</v>
      </c>
      <c r="D143" s="9" t="s">
        <v>518</v>
      </c>
      <c r="E143" s="9" t="s">
        <v>808</v>
      </c>
      <c r="F143" s="9">
        <v>3000</v>
      </c>
      <c r="G143" s="9" t="s">
        <v>810</v>
      </c>
      <c r="H143" s="9">
        <v>5024</v>
      </c>
      <c r="I143" s="9" t="s">
        <v>1094</v>
      </c>
      <c r="J143" s="9"/>
    </row>
    <row r="144" spans="1:10" x14ac:dyDescent="0.3">
      <c r="A144" s="13">
        <v>45475</v>
      </c>
      <c r="B144" s="9" t="s">
        <v>515</v>
      </c>
      <c r="C144" s="9" t="s">
        <v>994</v>
      </c>
      <c r="D144" s="9" t="s">
        <v>516</v>
      </c>
      <c r="E144" s="9" t="s">
        <v>808</v>
      </c>
      <c r="F144" s="9">
        <v>3000</v>
      </c>
      <c r="G144" s="9" t="s">
        <v>810</v>
      </c>
      <c r="H144" s="9">
        <v>5025</v>
      </c>
      <c r="I144" s="9" t="s">
        <v>1094</v>
      </c>
      <c r="J144" s="9"/>
    </row>
    <row r="145" spans="1:10" x14ac:dyDescent="0.3">
      <c r="A145" s="13">
        <v>45475</v>
      </c>
      <c r="B145" s="9" t="s">
        <v>195</v>
      </c>
      <c r="C145" s="9" t="s">
        <v>194</v>
      </c>
      <c r="D145" s="9" t="s">
        <v>995</v>
      </c>
      <c r="E145" s="9" t="s">
        <v>808</v>
      </c>
      <c r="F145" s="9">
        <v>3860</v>
      </c>
      <c r="G145" s="9" t="s">
        <v>810</v>
      </c>
      <c r="H145" s="9">
        <v>5026</v>
      </c>
      <c r="I145" s="9" t="s">
        <v>1094</v>
      </c>
      <c r="J145" s="9"/>
    </row>
    <row r="146" spans="1:10" x14ac:dyDescent="0.3">
      <c r="A146" s="13">
        <v>45475</v>
      </c>
      <c r="B146" s="9" t="s">
        <v>198</v>
      </c>
      <c r="C146" s="9" t="s">
        <v>197</v>
      </c>
      <c r="D146" s="9" t="s">
        <v>996</v>
      </c>
      <c r="E146" s="9" t="s">
        <v>808</v>
      </c>
      <c r="F146" s="9">
        <v>2096</v>
      </c>
      <c r="G146" s="9" t="s">
        <v>810</v>
      </c>
      <c r="H146" s="9">
        <v>5027</v>
      </c>
      <c r="I146" s="9" t="s">
        <v>1094</v>
      </c>
      <c r="J146" s="9"/>
    </row>
    <row r="147" spans="1:10" x14ac:dyDescent="0.3">
      <c r="A147" s="13">
        <v>45475</v>
      </c>
      <c r="B147" s="9" t="s">
        <v>198</v>
      </c>
      <c r="C147" s="9" t="s">
        <v>197</v>
      </c>
      <c r="D147" s="9" t="s">
        <v>996</v>
      </c>
      <c r="E147" s="9" t="s">
        <v>808</v>
      </c>
      <c r="F147" s="9">
        <v>4000</v>
      </c>
      <c r="G147" s="9" t="s">
        <v>810</v>
      </c>
      <c r="H147" s="9">
        <v>5028</v>
      </c>
      <c r="I147" s="9" t="s">
        <v>1094</v>
      </c>
      <c r="J147" s="9"/>
    </row>
    <row r="148" spans="1:10" x14ac:dyDescent="0.3">
      <c r="A148" s="13">
        <v>45475</v>
      </c>
      <c r="B148" s="9" t="s">
        <v>202</v>
      </c>
      <c r="C148" s="9" t="s">
        <v>197</v>
      </c>
      <c r="D148" s="9" t="s">
        <v>997</v>
      </c>
      <c r="E148" s="9" t="s">
        <v>808</v>
      </c>
      <c r="F148" s="9">
        <v>3899</v>
      </c>
      <c r="G148" s="9" t="s">
        <v>810</v>
      </c>
      <c r="H148" s="9">
        <v>5029</v>
      </c>
      <c r="I148" s="9" t="s">
        <v>1094</v>
      </c>
      <c r="J148" s="9"/>
    </row>
    <row r="149" spans="1:10" x14ac:dyDescent="0.3">
      <c r="A149" s="13">
        <v>45475</v>
      </c>
      <c r="B149" s="9" t="s">
        <v>257</v>
      </c>
      <c r="C149" s="9" t="s">
        <v>258</v>
      </c>
      <c r="D149" s="9" t="s">
        <v>998</v>
      </c>
      <c r="E149" s="9" t="s">
        <v>808</v>
      </c>
      <c r="F149" s="9">
        <v>775</v>
      </c>
      <c r="G149" s="9" t="s">
        <v>810</v>
      </c>
      <c r="H149" s="9">
        <v>5030</v>
      </c>
      <c r="I149" s="9" t="s">
        <v>1094</v>
      </c>
      <c r="J149" s="9"/>
    </row>
    <row r="150" spans="1:10" x14ac:dyDescent="0.3">
      <c r="A150" s="13">
        <v>45475</v>
      </c>
      <c r="B150" s="9" t="s">
        <v>261</v>
      </c>
      <c r="C150" s="9" t="s">
        <v>258</v>
      </c>
      <c r="D150" s="9" t="s">
        <v>999</v>
      </c>
      <c r="E150" s="9" t="s">
        <v>808</v>
      </c>
      <c r="F150" s="9">
        <v>2504</v>
      </c>
      <c r="G150" s="9" t="s">
        <v>810</v>
      </c>
      <c r="H150" s="9">
        <v>5031</v>
      </c>
      <c r="I150" s="9" t="s">
        <v>1094</v>
      </c>
      <c r="J150" s="9"/>
    </row>
    <row r="151" spans="1:10" x14ac:dyDescent="0.3">
      <c r="A151" s="13">
        <v>45475</v>
      </c>
      <c r="B151" s="9" t="s">
        <v>268</v>
      </c>
      <c r="C151" s="9" t="s">
        <v>266</v>
      </c>
      <c r="D151" s="9" t="s">
        <v>269</v>
      </c>
      <c r="E151" s="9" t="s">
        <v>808</v>
      </c>
      <c r="F151" s="9">
        <v>1990</v>
      </c>
      <c r="G151" s="9" t="s">
        <v>810</v>
      </c>
      <c r="H151" s="9">
        <v>5032</v>
      </c>
      <c r="I151" s="9" t="s">
        <v>1094</v>
      </c>
      <c r="J151" s="9"/>
    </row>
    <row r="152" spans="1:10" x14ac:dyDescent="0.3">
      <c r="A152" s="13">
        <v>45475</v>
      </c>
      <c r="B152" s="9" t="s">
        <v>276</v>
      </c>
      <c r="C152" s="9" t="s">
        <v>266</v>
      </c>
      <c r="D152" s="9" t="s">
        <v>277</v>
      </c>
      <c r="E152" s="9" t="s">
        <v>808</v>
      </c>
      <c r="F152" s="9">
        <v>4016</v>
      </c>
      <c r="G152" s="9" t="s">
        <v>810</v>
      </c>
      <c r="H152" s="9">
        <v>5033</v>
      </c>
      <c r="I152" s="9" t="s">
        <v>1094</v>
      </c>
      <c r="J152" s="9"/>
    </row>
    <row r="153" spans="1:10" x14ac:dyDescent="0.3">
      <c r="A153" s="13">
        <v>45475</v>
      </c>
      <c r="B153" s="9" t="s">
        <v>311</v>
      </c>
      <c r="C153" s="9" t="s">
        <v>310</v>
      </c>
      <c r="D153" s="9" t="s">
        <v>1000</v>
      </c>
      <c r="E153" s="9" t="s">
        <v>808</v>
      </c>
      <c r="F153" s="9">
        <v>448</v>
      </c>
      <c r="G153" s="9" t="s">
        <v>810</v>
      </c>
      <c r="H153" s="9">
        <v>5034</v>
      </c>
      <c r="I153" s="9" t="s">
        <v>1094</v>
      </c>
      <c r="J153" s="9"/>
    </row>
    <row r="154" spans="1:10" x14ac:dyDescent="0.3">
      <c r="A154" s="13">
        <v>45475</v>
      </c>
      <c r="B154" s="9" t="s">
        <v>311</v>
      </c>
      <c r="C154" s="9" t="s">
        <v>310</v>
      </c>
      <c r="D154" s="9" t="s">
        <v>1000</v>
      </c>
      <c r="E154" s="9" t="s">
        <v>808</v>
      </c>
      <c r="F154" s="9">
        <v>1000</v>
      </c>
      <c r="G154" s="9" t="s">
        <v>810</v>
      </c>
      <c r="H154" s="9">
        <v>5035</v>
      </c>
      <c r="I154" s="9" t="s">
        <v>1094</v>
      </c>
      <c r="J154" s="9"/>
    </row>
    <row r="155" spans="1:10" x14ac:dyDescent="0.3">
      <c r="A155" s="13">
        <v>45475</v>
      </c>
      <c r="B155" s="9" t="s">
        <v>312</v>
      </c>
      <c r="C155" s="9" t="s">
        <v>310</v>
      </c>
      <c r="D155" s="9" t="s">
        <v>313</v>
      </c>
      <c r="E155" s="9" t="s">
        <v>808</v>
      </c>
      <c r="F155" s="9">
        <v>2813</v>
      </c>
      <c r="G155" s="9" t="s">
        <v>810</v>
      </c>
      <c r="H155" s="9">
        <v>5036</v>
      </c>
      <c r="I155" s="9" t="s">
        <v>1094</v>
      </c>
      <c r="J155" s="9"/>
    </row>
    <row r="156" spans="1:10" x14ac:dyDescent="0.3">
      <c r="A156" s="13">
        <v>45475</v>
      </c>
      <c r="B156" s="9" t="s">
        <v>312</v>
      </c>
      <c r="C156" s="9" t="s">
        <v>310</v>
      </c>
      <c r="D156" s="9" t="s">
        <v>313</v>
      </c>
      <c r="E156" s="9" t="s">
        <v>808</v>
      </c>
      <c r="F156" s="9">
        <v>20</v>
      </c>
      <c r="G156" s="9" t="s">
        <v>810</v>
      </c>
      <c r="H156" s="9">
        <v>5037</v>
      </c>
      <c r="I156" s="9" t="s">
        <v>1094</v>
      </c>
      <c r="J156" s="9"/>
    </row>
    <row r="157" spans="1:10" x14ac:dyDescent="0.3">
      <c r="A157" s="13">
        <v>45475</v>
      </c>
      <c r="B157" s="9" t="s">
        <v>316</v>
      </c>
      <c r="C157" s="9" t="s">
        <v>310</v>
      </c>
      <c r="D157" s="9" t="s">
        <v>1001</v>
      </c>
      <c r="E157" s="9" t="s">
        <v>808</v>
      </c>
      <c r="F157" s="9">
        <v>3000</v>
      </c>
      <c r="G157" s="9" t="s">
        <v>810</v>
      </c>
      <c r="H157" s="9">
        <v>5038</v>
      </c>
      <c r="I157" s="9" t="s">
        <v>1094</v>
      </c>
      <c r="J157" s="9"/>
    </row>
    <row r="158" spans="1:10" x14ac:dyDescent="0.3">
      <c r="A158" s="13">
        <v>45475</v>
      </c>
      <c r="B158" s="9" t="s">
        <v>316</v>
      </c>
      <c r="C158" s="9" t="s">
        <v>310</v>
      </c>
      <c r="D158" s="9" t="s">
        <v>1001</v>
      </c>
      <c r="E158" s="9" t="s">
        <v>808</v>
      </c>
      <c r="F158" s="9">
        <v>3000</v>
      </c>
      <c r="G158" s="9" t="s">
        <v>810</v>
      </c>
      <c r="H158" s="9">
        <v>5039</v>
      </c>
      <c r="I158" s="9" t="s">
        <v>1094</v>
      </c>
      <c r="J158" s="9"/>
    </row>
    <row r="159" spans="1:10" x14ac:dyDescent="0.3">
      <c r="A159" s="13">
        <v>45475</v>
      </c>
      <c r="B159" s="9" t="s">
        <v>317</v>
      </c>
      <c r="C159" s="9" t="s">
        <v>310</v>
      </c>
      <c r="D159" s="9" t="s">
        <v>318</v>
      </c>
      <c r="E159" s="9" t="s">
        <v>808</v>
      </c>
      <c r="F159" s="9">
        <v>2920</v>
      </c>
      <c r="G159" s="9" t="s">
        <v>810</v>
      </c>
      <c r="H159" s="9">
        <v>5040</v>
      </c>
      <c r="I159" s="9" t="s">
        <v>1094</v>
      </c>
      <c r="J159" s="9"/>
    </row>
    <row r="160" spans="1:10" x14ac:dyDescent="0.3">
      <c r="A160" s="13">
        <v>45475</v>
      </c>
      <c r="B160" s="9" t="s">
        <v>319</v>
      </c>
      <c r="C160" s="9" t="s">
        <v>310</v>
      </c>
      <c r="D160" s="9" t="s">
        <v>320</v>
      </c>
      <c r="E160" s="9" t="s">
        <v>808</v>
      </c>
      <c r="F160" s="9">
        <v>3000</v>
      </c>
      <c r="G160" s="9" t="s">
        <v>810</v>
      </c>
      <c r="H160" s="9">
        <v>5041</v>
      </c>
      <c r="I160" s="9" t="s">
        <v>1094</v>
      </c>
      <c r="J160" s="9"/>
    </row>
    <row r="161" spans="1:10" x14ac:dyDescent="0.3">
      <c r="A161" s="13">
        <v>45475</v>
      </c>
      <c r="B161" s="9" t="s">
        <v>321</v>
      </c>
      <c r="C161" s="9" t="s">
        <v>310</v>
      </c>
      <c r="D161" s="9" t="s">
        <v>322</v>
      </c>
      <c r="E161" s="9" t="s">
        <v>808</v>
      </c>
      <c r="F161" s="9">
        <v>100</v>
      </c>
      <c r="G161" s="9" t="s">
        <v>810</v>
      </c>
      <c r="H161" s="9">
        <v>5042</v>
      </c>
      <c r="I161" s="9" t="s">
        <v>1094</v>
      </c>
      <c r="J161" s="9"/>
    </row>
    <row r="162" spans="1:10" x14ac:dyDescent="0.3">
      <c r="A162" s="13">
        <v>45475</v>
      </c>
      <c r="B162" s="9" t="s">
        <v>323</v>
      </c>
      <c r="C162" s="9" t="s">
        <v>324</v>
      </c>
      <c r="D162" s="9" t="s">
        <v>1002</v>
      </c>
      <c r="E162" s="9" t="s">
        <v>808</v>
      </c>
      <c r="F162" s="9">
        <v>232</v>
      </c>
      <c r="G162" s="9" t="s">
        <v>810</v>
      </c>
      <c r="H162" s="9">
        <v>5043</v>
      </c>
      <c r="I162" s="9" t="s">
        <v>1094</v>
      </c>
      <c r="J162" s="9"/>
    </row>
    <row r="163" spans="1:10" x14ac:dyDescent="0.3">
      <c r="A163" s="13">
        <v>45475</v>
      </c>
      <c r="B163" s="9" t="s">
        <v>323</v>
      </c>
      <c r="C163" s="9" t="s">
        <v>324</v>
      </c>
      <c r="D163" s="9" t="s">
        <v>1002</v>
      </c>
      <c r="E163" s="9" t="s">
        <v>808</v>
      </c>
      <c r="F163" s="9">
        <v>1000</v>
      </c>
      <c r="G163" s="9" t="s">
        <v>810</v>
      </c>
      <c r="H163" s="9">
        <v>5044</v>
      </c>
      <c r="I163" s="9" t="s">
        <v>1094</v>
      </c>
      <c r="J163" s="9"/>
    </row>
    <row r="164" spans="1:10" x14ac:dyDescent="0.3">
      <c r="A164" s="13">
        <v>45475</v>
      </c>
      <c r="B164" s="9" t="s">
        <v>474</v>
      </c>
      <c r="C164" s="9" t="s">
        <v>1003</v>
      </c>
      <c r="D164" s="9" t="s">
        <v>1004</v>
      </c>
      <c r="E164" s="9" t="s">
        <v>808</v>
      </c>
      <c r="F164" s="9">
        <v>1500</v>
      </c>
      <c r="G164" s="9" t="s">
        <v>810</v>
      </c>
      <c r="H164" s="9">
        <v>5045</v>
      </c>
      <c r="I164" s="9" t="s">
        <v>1094</v>
      </c>
      <c r="J164" s="9"/>
    </row>
    <row r="165" spans="1:10" x14ac:dyDescent="0.3">
      <c r="A165" s="13">
        <v>45475</v>
      </c>
      <c r="B165" s="9" t="s">
        <v>474</v>
      </c>
      <c r="C165" s="9" t="s">
        <v>1003</v>
      </c>
      <c r="D165" s="9" t="s">
        <v>1004</v>
      </c>
      <c r="E165" s="9" t="s">
        <v>808</v>
      </c>
      <c r="F165" s="9">
        <v>51</v>
      </c>
      <c r="G165" s="9" t="s">
        <v>810</v>
      </c>
      <c r="H165" s="9">
        <v>5046</v>
      </c>
      <c r="I165" s="9" t="s">
        <v>1094</v>
      </c>
      <c r="J165" s="9"/>
    </row>
    <row r="166" spans="1:10" x14ac:dyDescent="0.3">
      <c r="A166" s="13">
        <v>45475</v>
      </c>
      <c r="B166" s="9" t="s">
        <v>475</v>
      </c>
      <c r="C166" s="9" t="s">
        <v>1003</v>
      </c>
      <c r="D166" s="9" t="s">
        <v>1005</v>
      </c>
      <c r="E166" s="9" t="s">
        <v>808</v>
      </c>
      <c r="F166" s="9">
        <v>384</v>
      </c>
      <c r="G166" s="9" t="s">
        <v>810</v>
      </c>
      <c r="H166" s="9">
        <v>5047</v>
      </c>
      <c r="I166" s="9" t="s">
        <v>1094</v>
      </c>
      <c r="J166" s="9"/>
    </row>
    <row r="167" spans="1:10" x14ac:dyDescent="0.3">
      <c r="A167" s="13">
        <v>45475</v>
      </c>
      <c r="B167" s="9" t="s">
        <v>476</v>
      </c>
      <c r="C167" s="9" t="s">
        <v>1003</v>
      </c>
      <c r="D167" s="9" t="s">
        <v>477</v>
      </c>
      <c r="E167" s="9" t="s">
        <v>808</v>
      </c>
      <c r="F167" s="9">
        <v>4650</v>
      </c>
      <c r="G167" s="9" t="s">
        <v>810</v>
      </c>
      <c r="H167" s="9">
        <v>5048</v>
      </c>
      <c r="I167" s="9" t="s">
        <v>1094</v>
      </c>
      <c r="J167" s="9"/>
    </row>
    <row r="168" spans="1:10" x14ac:dyDescent="0.3">
      <c r="A168" s="13">
        <v>45475</v>
      </c>
      <c r="B168" s="9" t="s">
        <v>478</v>
      </c>
      <c r="C168" s="9" t="s">
        <v>1003</v>
      </c>
      <c r="D168" s="9" t="s">
        <v>479</v>
      </c>
      <c r="E168" s="9" t="s">
        <v>808</v>
      </c>
      <c r="F168" s="9">
        <v>25</v>
      </c>
      <c r="G168" s="9" t="s">
        <v>810</v>
      </c>
      <c r="H168" s="9">
        <v>5049</v>
      </c>
      <c r="I168" s="9" t="s">
        <v>1094</v>
      </c>
      <c r="J168" s="9"/>
    </row>
    <row r="169" spans="1:10" x14ac:dyDescent="0.3">
      <c r="A169" s="13">
        <v>45475</v>
      </c>
      <c r="B169" s="9" t="s">
        <v>480</v>
      </c>
      <c r="C169" s="9" t="s">
        <v>1003</v>
      </c>
      <c r="D169" s="9" t="s">
        <v>481</v>
      </c>
      <c r="E169" s="9" t="s">
        <v>808</v>
      </c>
      <c r="F169" s="9">
        <v>3000</v>
      </c>
      <c r="G169" s="9" t="s">
        <v>810</v>
      </c>
      <c r="H169" s="9">
        <v>5050</v>
      </c>
      <c r="I169" s="9" t="s">
        <v>1094</v>
      </c>
      <c r="J169" s="9"/>
    </row>
    <row r="170" spans="1:10" x14ac:dyDescent="0.3">
      <c r="A170" s="13">
        <v>45475</v>
      </c>
      <c r="B170" s="9" t="s">
        <v>487</v>
      </c>
      <c r="C170" s="9" t="s">
        <v>1006</v>
      </c>
      <c r="D170" s="9" t="s">
        <v>1007</v>
      </c>
      <c r="E170" s="9" t="s">
        <v>808</v>
      </c>
      <c r="F170" s="9">
        <v>500</v>
      </c>
      <c r="G170" s="9" t="s">
        <v>810</v>
      </c>
      <c r="H170" s="9">
        <v>5051</v>
      </c>
      <c r="I170" s="9" t="s">
        <v>1094</v>
      </c>
      <c r="J170" s="9"/>
    </row>
    <row r="171" spans="1:10" x14ac:dyDescent="0.3">
      <c r="A171" s="13">
        <v>45475</v>
      </c>
      <c r="B171" s="9" t="s">
        <v>489</v>
      </c>
      <c r="C171" s="9" t="s">
        <v>1006</v>
      </c>
      <c r="D171" s="9" t="s">
        <v>490</v>
      </c>
      <c r="E171" s="9" t="s">
        <v>808</v>
      </c>
      <c r="F171" s="9">
        <v>2748</v>
      </c>
      <c r="G171" s="9" t="s">
        <v>810</v>
      </c>
      <c r="H171" s="9">
        <v>5052</v>
      </c>
      <c r="I171" s="9" t="s">
        <v>1094</v>
      </c>
      <c r="J171" s="9"/>
    </row>
    <row r="172" spans="1:10" x14ac:dyDescent="0.3">
      <c r="A172" s="13">
        <v>45475</v>
      </c>
      <c r="B172" s="9" t="s">
        <v>493</v>
      </c>
      <c r="C172" s="9" t="s">
        <v>1006</v>
      </c>
      <c r="D172" s="9" t="s">
        <v>494</v>
      </c>
      <c r="E172" s="9" t="s">
        <v>808</v>
      </c>
      <c r="F172" s="9">
        <v>500</v>
      </c>
      <c r="G172" s="9" t="s">
        <v>810</v>
      </c>
      <c r="H172" s="9">
        <v>5053</v>
      </c>
      <c r="I172" s="9" t="s">
        <v>1094</v>
      </c>
      <c r="J172" s="9"/>
    </row>
    <row r="173" spans="1:10" x14ac:dyDescent="0.3">
      <c r="A173" s="13">
        <v>45475</v>
      </c>
      <c r="B173" s="9" t="s">
        <v>495</v>
      </c>
      <c r="C173" s="9" t="s">
        <v>1006</v>
      </c>
      <c r="D173" s="9" t="s">
        <v>1008</v>
      </c>
      <c r="E173" s="9" t="s">
        <v>808</v>
      </c>
      <c r="F173" s="9">
        <v>1067</v>
      </c>
      <c r="G173" s="9" t="s">
        <v>810</v>
      </c>
      <c r="H173" s="9">
        <v>5054</v>
      </c>
      <c r="I173" s="9" t="s">
        <v>1094</v>
      </c>
      <c r="J173" s="9"/>
    </row>
    <row r="174" spans="1:10" x14ac:dyDescent="0.3">
      <c r="A174" s="13">
        <v>45475</v>
      </c>
      <c r="B174" s="9" t="s">
        <v>502</v>
      </c>
      <c r="C174" s="9" t="s">
        <v>503</v>
      </c>
      <c r="D174" s="9" t="s">
        <v>1009</v>
      </c>
      <c r="E174" s="9" t="s">
        <v>808</v>
      </c>
      <c r="F174" s="9">
        <v>847</v>
      </c>
      <c r="G174" s="9" t="s">
        <v>810</v>
      </c>
      <c r="H174" s="9">
        <v>2001</v>
      </c>
      <c r="I174" s="9" t="s">
        <v>1101</v>
      </c>
      <c r="J174" s="9"/>
    </row>
    <row r="175" spans="1:10" x14ac:dyDescent="0.3">
      <c r="A175" s="13">
        <v>45477</v>
      </c>
      <c r="B175" s="9" t="s">
        <v>458</v>
      </c>
      <c r="C175" s="9" t="s">
        <v>459</v>
      </c>
      <c r="D175" s="9" t="s">
        <v>460</v>
      </c>
      <c r="E175" s="9" t="s">
        <v>808</v>
      </c>
      <c r="F175" s="9">
        <v>800</v>
      </c>
      <c r="G175" s="9" t="s">
        <v>810</v>
      </c>
      <c r="H175" s="9">
        <v>2002</v>
      </c>
      <c r="I175" s="9" t="s">
        <v>1101</v>
      </c>
      <c r="J175" s="9"/>
    </row>
    <row r="176" spans="1:10" x14ac:dyDescent="0.3">
      <c r="A176" s="13">
        <v>45478</v>
      </c>
      <c r="B176" s="9" t="s">
        <v>458</v>
      </c>
      <c r="C176" s="9" t="s">
        <v>459</v>
      </c>
      <c r="D176" s="9" t="s">
        <v>460</v>
      </c>
      <c r="E176" s="9" t="s">
        <v>991</v>
      </c>
      <c r="F176" s="9">
        <v>800</v>
      </c>
      <c r="G176" s="9" t="s">
        <v>1014</v>
      </c>
      <c r="H176" s="9">
        <v>2003</v>
      </c>
      <c r="I176" s="9" t="s">
        <v>1101</v>
      </c>
      <c r="J176" s="9"/>
    </row>
    <row r="177" spans="1:10" x14ac:dyDescent="0.3">
      <c r="A177" s="13">
        <v>45478</v>
      </c>
      <c r="B177" s="9" t="s">
        <v>325</v>
      </c>
      <c r="C177" s="9" t="s">
        <v>326</v>
      </c>
      <c r="D177" s="9" t="s">
        <v>1015</v>
      </c>
      <c r="E177" s="9" t="s">
        <v>808</v>
      </c>
      <c r="F177" s="9">
        <v>851</v>
      </c>
      <c r="G177" s="9" t="s">
        <v>810</v>
      </c>
      <c r="H177" s="9">
        <v>2004</v>
      </c>
      <c r="I177" s="9" t="s">
        <v>1101</v>
      </c>
      <c r="J177" s="9"/>
    </row>
    <row r="178" spans="1:10" x14ac:dyDescent="0.3">
      <c r="A178" s="13">
        <v>45478</v>
      </c>
      <c r="B178" s="9" t="s">
        <v>452</v>
      </c>
      <c r="C178" s="9" t="s">
        <v>451</v>
      </c>
      <c r="D178" s="9" t="s">
        <v>1016</v>
      </c>
      <c r="E178" s="9" t="s">
        <v>808</v>
      </c>
      <c r="F178" s="9">
        <v>712</v>
      </c>
      <c r="G178" s="9" t="s">
        <v>810</v>
      </c>
      <c r="H178" s="9">
        <v>2005</v>
      </c>
      <c r="I178" s="9" t="s">
        <v>1101</v>
      </c>
      <c r="J178" s="9"/>
    </row>
    <row r="179" spans="1:10" x14ac:dyDescent="0.3">
      <c r="A179" s="13">
        <v>45478</v>
      </c>
      <c r="B179" s="9" t="s">
        <v>450</v>
      </c>
      <c r="C179" s="9" t="s">
        <v>451</v>
      </c>
      <c r="D179" s="9" t="s">
        <v>1017</v>
      </c>
      <c r="E179" s="9" t="s">
        <v>808</v>
      </c>
      <c r="F179" s="9">
        <v>418</v>
      </c>
      <c r="G179" s="9" t="s">
        <v>810</v>
      </c>
      <c r="H179" s="9">
        <v>2006</v>
      </c>
      <c r="I179" s="9" t="s">
        <v>1101</v>
      </c>
      <c r="J179" s="9"/>
    </row>
    <row r="180" spans="1:10" x14ac:dyDescent="0.3">
      <c r="A180" s="13">
        <v>45478</v>
      </c>
      <c r="B180" s="9" t="s">
        <v>450</v>
      </c>
      <c r="C180" s="9" t="s">
        <v>451</v>
      </c>
      <c r="D180" s="9" t="s">
        <v>1017</v>
      </c>
      <c r="E180" s="9" t="s">
        <v>808</v>
      </c>
      <c r="F180" s="9">
        <v>500</v>
      </c>
      <c r="G180" s="9" t="s">
        <v>810</v>
      </c>
      <c r="H180" s="9">
        <v>2007</v>
      </c>
      <c r="I180" s="9" t="s">
        <v>1101</v>
      </c>
      <c r="J180" s="9"/>
    </row>
    <row r="181" spans="1:10" x14ac:dyDescent="0.3">
      <c r="A181" s="13">
        <v>45478</v>
      </c>
      <c r="B181" s="9" t="s">
        <v>325</v>
      </c>
      <c r="C181" s="9" t="s">
        <v>326</v>
      </c>
      <c r="D181" s="9" t="s">
        <v>1015</v>
      </c>
      <c r="E181" s="9" t="s">
        <v>808</v>
      </c>
      <c r="F181" s="9">
        <v>3000</v>
      </c>
      <c r="G181" s="9" t="s">
        <v>810</v>
      </c>
      <c r="H181" s="9">
        <v>2008</v>
      </c>
      <c r="I181" s="9" t="s">
        <v>1101</v>
      </c>
      <c r="J181" s="9"/>
    </row>
    <row r="182" spans="1:10" x14ac:dyDescent="0.3">
      <c r="A182" s="13">
        <v>45478</v>
      </c>
      <c r="B182" s="9" t="s">
        <v>325</v>
      </c>
      <c r="C182" s="9" t="s">
        <v>326</v>
      </c>
      <c r="D182" s="9" t="s">
        <v>1015</v>
      </c>
      <c r="E182" s="9" t="s">
        <v>808</v>
      </c>
      <c r="F182" s="9">
        <v>3000</v>
      </c>
      <c r="G182" s="9" t="s">
        <v>810</v>
      </c>
      <c r="H182" s="9">
        <v>2009</v>
      </c>
      <c r="I182" s="9" t="s">
        <v>1101</v>
      </c>
      <c r="J182" s="9"/>
    </row>
    <row r="183" spans="1:10" x14ac:dyDescent="0.3">
      <c r="A183" s="13">
        <v>45478</v>
      </c>
      <c r="B183" s="9" t="s">
        <v>325</v>
      </c>
      <c r="C183" s="9" t="s">
        <v>326</v>
      </c>
      <c r="D183" s="9" t="s">
        <v>1015</v>
      </c>
      <c r="E183" s="9" t="s">
        <v>808</v>
      </c>
      <c r="F183" s="9">
        <v>1878</v>
      </c>
      <c r="G183" s="9" t="s">
        <v>810</v>
      </c>
      <c r="H183" s="9">
        <v>2010</v>
      </c>
      <c r="I183" s="9" t="s">
        <v>1101</v>
      </c>
      <c r="J183" s="9"/>
    </row>
    <row r="184" spans="1:10" x14ac:dyDescent="0.3">
      <c r="A184" s="13">
        <v>45478</v>
      </c>
      <c r="B184" s="9" t="s">
        <v>325</v>
      </c>
      <c r="C184" s="9" t="s">
        <v>326</v>
      </c>
      <c r="D184" s="9" t="s">
        <v>1015</v>
      </c>
      <c r="E184" s="9" t="s">
        <v>808</v>
      </c>
      <c r="F184" s="9">
        <v>156</v>
      </c>
      <c r="G184" s="9" t="s">
        <v>810</v>
      </c>
      <c r="H184" s="9">
        <v>2011</v>
      </c>
      <c r="I184" s="9" t="s">
        <v>1101</v>
      </c>
      <c r="J184" s="9"/>
    </row>
    <row r="185" spans="1:10" x14ac:dyDescent="0.3">
      <c r="A185" s="13">
        <v>45478</v>
      </c>
      <c r="B185" s="9" t="s">
        <v>327</v>
      </c>
      <c r="C185" s="9" t="s">
        <v>326</v>
      </c>
      <c r="D185" s="9" t="s">
        <v>1018</v>
      </c>
      <c r="E185" s="9" t="s">
        <v>808</v>
      </c>
      <c r="F185" s="9">
        <v>1063</v>
      </c>
      <c r="G185" s="9" t="s">
        <v>810</v>
      </c>
      <c r="H185" s="9">
        <v>2012</v>
      </c>
      <c r="I185" s="9" t="s">
        <v>1101</v>
      </c>
      <c r="J185" s="9"/>
    </row>
    <row r="186" spans="1:10" x14ac:dyDescent="0.3">
      <c r="A186" s="13">
        <v>45478</v>
      </c>
      <c r="B186" s="9" t="s">
        <v>453</v>
      </c>
      <c r="C186" s="9" t="s">
        <v>451</v>
      </c>
      <c r="D186" s="9" t="s">
        <v>454</v>
      </c>
      <c r="E186" s="9" t="s">
        <v>808</v>
      </c>
      <c r="F186" s="9">
        <v>900</v>
      </c>
      <c r="G186" s="9" t="s">
        <v>810</v>
      </c>
      <c r="H186" s="9">
        <v>2013</v>
      </c>
      <c r="I186" s="9" t="s">
        <v>1101</v>
      </c>
      <c r="J186" s="9"/>
    </row>
    <row r="187" spans="1:10" x14ac:dyDescent="0.3">
      <c r="A187" s="13">
        <v>45478</v>
      </c>
      <c r="B187" s="9" t="s">
        <v>328</v>
      </c>
      <c r="C187" s="9" t="s">
        <v>326</v>
      </c>
      <c r="D187" s="9" t="s">
        <v>329</v>
      </c>
      <c r="E187" s="9" t="s">
        <v>808</v>
      </c>
      <c r="F187" s="9">
        <v>1800</v>
      </c>
      <c r="G187" s="9" t="s">
        <v>810</v>
      </c>
      <c r="H187" s="9">
        <v>2014</v>
      </c>
      <c r="I187" s="9" t="s">
        <v>1101</v>
      </c>
      <c r="J187" s="9"/>
    </row>
    <row r="188" spans="1:10" x14ac:dyDescent="0.3">
      <c r="A188" s="13">
        <v>45478</v>
      </c>
      <c r="B188" s="9" t="s">
        <v>52</v>
      </c>
      <c r="C188" s="9" t="s">
        <v>53</v>
      </c>
      <c r="D188" s="9" t="s">
        <v>54</v>
      </c>
      <c r="E188" s="9" t="s">
        <v>808</v>
      </c>
      <c r="F188" s="9">
        <v>450</v>
      </c>
      <c r="G188" s="9" t="s">
        <v>810</v>
      </c>
      <c r="H188" s="9">
        <v>2015</v>
      </c>
      <c r="I188" s="9" t="s">
        <v>1101</v>
      </c>
      <c r="J188" s="9"/>
    </row>
    <row r="189" spans="1:10" x14ac:dyDescent="0.3">
      <c r="A189" s="13">
        <v>45478</v>
      </c>
      <c r="B189" s="9" t="s">
        <v>57</v>
      </c>
      <c r="C189" s="9" t="s">
        <v>53</v>
      </c>
      <c r="D189" s="9" t="s">
        <v>58</v>
      </c>
      <c r="E189" s="9" t="s">
        <v>808</v>
      </c>
      <c r="F189" s="9">
        <v>1021</v>
      </c>
      <c r="G189" s="9" t="s">
        <v>810</v>
      </c>
      <c r="H189" s="9">
        <v>2016</v>
      </c>
      <c r="I189" s="9" t="s">
        <v>1101</v>
      </c>
      <c r="J189" s="9"/>
    </row>
    <row r="190" spans="1:10" x14ac:dyDescent="0.3">
      <c r="A190" s="13">
        <v>45478</v>
      </c>
      <c r="B190" s="9" t="s">
        <v>52</v>
      </c>
      <c r="C190" s="9" t="s">
        <v>53</v>
      </c>
      <c r="D190" s="9" t="s">
        <v>54</v>
      </c>
      <c r="E190" s="9" t="s">
        <v>808</v>
      </c>
      <c r="F190" s="9">
        <v>960</v>
      </c>
      <c r="G190" s="9" t="s">
        <v>810</v>
      </c>
      <c r="H190" s="9">
        <v>2017</v>
      </c>
      <c r="I190" s="9" t="s">
        <v>1101</v>
      </c>
      <c r="J190" s="9"/>
    </row>
    <row r="191" spans="1:10" x14ac:dyDescent="0.3">
      <c r="A191" s="13">
        <v>45478</v>
      </c>
      <c r="B191" s="9" t="s">
        <v>52</v>
      </c>
      <c r="C191" s="9" t="s">
        <v>53</v>
      </c>
      <c r="D191" s="9" t="s">
        <v>54</v>
      </c>
      <c r="E191" s="9" t="s">
        <v>808</v>
      </c>
      <c r="F191" s="9">
        <v>960</v>
      </c>
      <c r="G191" s="9" t="s">
        <v>810</v>
      </c>
      <c r="H191" s="9">
        <v>2018</v>
      </c>
      <c r="I191" s="9" t="s">
        <v>1101</v>
      </c>
      <c r="J191" s="9"/>
    </row>
    <row r="192" spans="1:10" x14ac:dyDescent="0.3">
      <c r="A192" s="13">
        <v>45478</v>
      </c>
      <c r="B192" s="9" t="s">
        <v>52</v>
      </c>
      <c r="C192" s="9" t="s">
        <v>53</v>
      </c>
      <c r="D192" s="9" t="s">
        <v>54</v>
      </c>
      <c r="E192" s="9" t="s">
        <v>808</v>
      </c>
      <c r="F192" s="9">
        <v>871</v>
      </c>
      <c r="G192" s="9" t="s">
        <v>810</v>
      </c>
      <c r="H192" s="9">
        <v>2019</v>
      </c>
      <c r="I192" s="9" t="s">
        <v>1101</v>
      </c>
      <c r="J192" s="9"/>
    </row>
    <row r="193" spans="1:10" x14ac:dyDescent="0.3">
      <c r="A193" s="13">
        <v>45478</v>
      </c>
      <c r="B193" s="9" t="s">
        <v>404</v>
      </c>
      <c r="C193" s="9" t="s">
        <v>405</v>
      </c>
      <c r="D193" s="9" t="s">
        <v>1019</v>
      </c>
      <c r="E193" s="9" t="s">
        <v>808</v>
      </c>
      <c r="F193" s="9">
        <v>288</v>
      </c>
      <c r="G193" s="9" t="s">
        <v>810</v>
      </c>
      <c r="H193" s="9">
        <v>2020</v>
      </c>
      <c r="I193" s="9" t="s">
        <v>1101</v>
      </c>
      <c r="J193" s="9"/>
    </row>
    <row r="194" spans="1:10" x14ac:dyDescent="0.3">
      <c r="A194" s="13">
        <v>45478</v>
      </c>
      <c r="B194" s="9" t="s">
        <v>404</v>
      </c>
      <c r="C194" s="9" t="s">
        <v>405</v>
      </c>
      <c r="D194" s="9" t="s">
        <v>1019</v>
      </c>
      <c r="E194" s="9" t="s">
        <v>808</v>
      </c>
      <c r="F194" s="9">
        <v>280</v>
      </c>
      <c r="G194" s="9" t="s">
        <v>810</v>
      </c>
      <c r="H194" s="9">
        <v>2021</v>
      </c>
      <c r="I194" s="9" t="s">
        <v>1101</v>
      </c>
      <c r="J194" s="9"/>
    </row>
    <row r="195" spans="1:10" x14ac:dyDescent="0.3">
      <c r="A195" s="13">
        <v>45478</v>
      </c>
      <c r="B195" s="9" t="s">
        <v>404</v>
      </c>
      <c r="C195" s="9" t="s">
        <v>405</v>
      </c>
      <c r="D195" s="9" t="s">
        <v>1019</v>
      </c>
      <c r="E195" s="9" t="s">
        <v>808</v>
      </c>
      <c r="F195" s="9">
        <v>400</v>
      </c>
      <c r="G195" s="9" t="s">
        <v>810</v>
      </c>
      <c r="H195" s="9">
        <v>2022</v>
      </c>
      <c r="I195" s="9" t="s">
        <v>1101</v>
      </c>
      <c r="J195" s="9"/>
    </row>
    <row r="196" spans="1:10" x14ac:dyDescent="0.3">
      <c r="A196" s="13">
        <v>45478</v>
      </c>
      <c r="B196" s="9" t="s">
        <v>404</v>
      </c>
      <c r="C196" s="9" t="s">
        <v>405</v>
      </c>
      <c r="D196" s="9" t="s">
        <v>1019</v>
      </c>
      <c r="E196" s="9" t="s">
        <v>808</v>
      </c>
      <c r="F196" s="9">
        <v>41</v>
      </c>
      <c r="G196" s="9" t="s">
        <v>810</v>
      </c>
      <c r="H196" s="9">
        <v>2023</v>
      </c>
      <c r="I196" s="9" t="s">
        <v>1101</v>
      </c>
      <c r="J196" s="9"/>
    </row>
    <row r="197" spans="1:10" x14ac:dyDescent="0.3">
      <c r="A197" s="13">
        <v>45478</v>
      </c>
      <c r="B197" s="9" t="s">
        <v>406</v>
      </c>
      <c r="C197" s="9" t="s">
        <v>405</v>
      </c>
      <c r="D197" s="9" t="s">
        <v>1020</v>
      </c>
      <c r="E197" s="9" t="s">
        <v>808</v>
      </c>
      <c r="F197" s="9">
        <v>988</v>
      </c>
      <c r="G197" s="9" t="s">
        <v>810</v>
      </c>
      <c r="H197" s="9">
        <v>2024</v>
      </c>
      <c r="I197" s="9" t="s">
        <v>1101</v>
      </c>
      <c r="J197" s="9"/>
    </row>
    <row r="198" spans="1:10" x14ac:dyDescent="0.3">
      <c r="A198" s="13">
        <v>45481</v>
      </c>
      <c r="B198" s="9" t="s">
        <v>396</v>
      </c>
      <c r="C198" s="9" t="s">
        <v>1025</v>
      </c>
      <c r="D198" s="9" t="s">
        <v>1026</v>
      </c>
      <c r="E198" s="9" t="s">
        <v>808</v>
      </c>
      <c r="F198" s="9">
        <v>2102</v>
      </c>
      <c r="G198" s="9" t="s">
        <v>810</v>
      </c>
      <c r="H198" s="9">
        <v>2025</v>
      </c>
      <c r="I198" s="9" t="s">
        <v>1101</v>
      </c>
      <c r="J198" s="9"/>
    </row>
    <row r="199" spans="1:10" x14ac:dyDescent="0.3">
      <c r="A199" s="13">
        <v>45481</v>
      </c>
      <c r="B199" s="9" t="s">
        <v>509</v>
      </c>
      <c r="C199" s="9" t="s">
        <v>505</v>
      </c>
      <c r="D199" s="9" t="s">
        <v>1027</v>
      </c>
      <c r="E199" s="9" t="s">
        <v>808</v>
      </c>
      <c r="F199" s="9">
        <v>742</v>
      </c>
      <c r="G199" s="9" t="s">
        <v>810</v>
      </c>
      <c r="H199" s="9">
        <v>2026</v>
      </c>
      <c r="I199" s="9" t="s">
        <v>1101</v>
      </c>
      <c r="J199" s="9"/>
    </row>
    <row r="200" spans="1:10" x14ac:dyDescent="0.3">
      <c r="A200" s="13">
        <v>45481</v>
      </c>
      <c r="B200" s="9" t="s">
        <v>506</v>
      </c>
      <c r="C200" s="9" t="s">
        <v>505</v>
      </c>
      <c r="D200" s="9" t="s">
        <v>1028</v>
      </c>
      <c r="E200" s="9" t="s">
        <v>808</v>
      </c>
      <c r="F200" s="9">
        <v>435</v>
      </c>
      <c r="G200" s="9" t="s">
        <v>810</v>
      </c>
      <c r="H200" s="9">
        <v>2027</v>
      </c>
      <c r="I200" s="9" t="s">
        <v>1101</v>
      </c>
      <c r="J200" s="9"/>
    </row>
    <row r="201" spans="1:10" x14ac:dyDescent="0.3">
      <c r="A201" s="13">
        <v>45481</v>
      </c>
      <c r="B201" s="9" t="s">
        <v>509</v>
      </c>
      <c r="C201" s="9" t="s">
        <v>505</v>
      </c>
      <c r="D201" s="9" t="s">
        <v>1027</v>
      </c>
      <c r="E201" s="9" t="s">
        <v>808</v>
      </c>
      <c r="F201" s="9">
        <v>32</v>
      </c>
      <c r="G201" s="9" t="s">
        <v>810</v>
      </c>
      <c r="H201" s="9">
        <v>2028</v>
      </c>
      <c r="I201" s="9" t="s">
        <v>1101</v>
      </c>
      <c r="J201" s="9"/>
    </row>
    <row r="202" spans="1:10" x14ac:dyDescent="0.3">
      <c r="A202" s="13">
        <v>45481</v>
      </c>
      <c r="B202" s="9" t="s">
        <v>512</v>
      </c>
      <c r="C202" s="9" t="s">
        <v>511</v>
      </c>
      <c r="D202" s="9" t="s">
        <v>1029</v>
      </c>
      <c r="E202" s="9" t="s">
        <v>808</v>
      </c>
      <c r="F202" s="9">
        <v>842</v>
      </c>
      <c r="G202" s="9" t="s">
        <v>810</v>
      </c>
      <c r="H202" s="9">
        <v>2029</v>
      </c>
      <c r="I202" s="9" t="s">
        <v>1101</v>
      </c>
      <c r="J202" s="9"/>
    </row>
    <row r="203" spans="1:10" x14ac:dyDescent="0.3">
      <c r="A203" s="13">
        <v>45481</v>
      </c>
      <c r="B203" s="9" t="s">
        <v>508</v>
      </c>
      <c r="C203" s="9" t="s">
        <v>505</v>
      </c>
      <c r="D203" s="9" t="s">
        <v>1030</v>
      </c>
      <c r="E203" s="9" t="s">
        <v>808</v>
      </c>
      <c r="F203" s="9">
        <v>99</v>
      </c>
      <c r="G203" s="9" t="s">
        <v>810</v>
      </c>
      <c r="H203" s="9">
        <v>2030</v>
      </c>
      <c r="I203" s="9" t="s">
        <v>1101</v>
      </c>
      <c r="J203" s="9"/>
    </row>
    <row r="204" spans="1:10" x14ac:dyDescent="0.3">
      <c r="A204" s="13">
        <v>45481</v>
      </c>
      <c r="B204" s="9" t="s">
        <v>507</v>
      </c>
      <c r="C204" s="9" t="s">
        <v>505</v>
      </c>
      <c r="D204" s="9" t="s">
        <v>1031</v>
      </c>
      <c r="E204" s="9" t="s">
        <v>808</v>
      </c>
      <c r="F204" s="9">
        <v>20</v>
      </c>
      <c r="G204" s="9" t="s">
        <v>810</v>
      </c>
      <c r="H204" s="9">
        <v>2031</v>
      </c>
      <c r="I204" s="9" t="s">
        <v>1101</v>
      </c>
      <c r="J204" s="9"/>
    </row>
    <row r="205" spans="1:10" x14ac:dyDescent="0.3">
      <c r="A205" s="13">
        <v>45481</v>
      </c>
      <c r="B205" s="9" t="s">
        <v>399</v>
      </c>
      <c r="C205" s="9" t="s">
        <v>398</v>
      </c>
      <c r="D205" s="9" t="s">
        <v>1032</v>
      </c>
      <c r="E205" s="9" t="s">
        <v>808</v>
      </c>
      <c r="F205" s="9">
        <v>722</v>
      </c>
      <c r="G205" s="9" t="s">
        <v>810</v>
      </c>
      <c r="H205" s="9">
        <v>2032</v>
      </c>
      <c r="I205" s="9" t="s">
        <v>1101</v>
      </c>
      <c r="J205" s="9"/>
    </row>
    <row r="206" spans="1:10" x14ac:dyDescent="0.3">
      <c r="A206" s="13">
        <v>45481</v>
      </c>
      <c r="B206" s="9" t="s">
        <v>400</v>
      </c>
      <c r="C206" s="9" t="s">
        <v>398</v>
      </c>
      <c r="D206" s="9" t="s">
        <v>1033</v>
      </c>
      <c r="E206" s="9" t="s">
        <v>808</v>
      </c>
      <c r="F206" s="9">
        <v>909</v>
      </c>
      <c r="G206" s="9" t="s">
        <v>810</v>
      </c>
      <c r="H206" s="9">
        <v>2033</v>
      </c>
      <c r="I206" s="9" t="s">
        <v>1101</v>
      </c>
      <c r="J206" s="9"/>
    </row>
    <row r="207" spans="1:10" x14ac:dyDescent="0.3">
      <c r="A207" s="13">
        <v>45484</v>
      </c>
      <c r="B207" s="9" t="s">
        <v>1034</v>
      </c>
      <c r="C207" s="9" t="s">
        <v>408</v>
      </c>
      <c r="D207" s="9" t="s">
        <v>1035</v>
      </c>
      <c r="E207" s="9" t="s">
        <v>808</v>
      </c>
      <c r="F207" s="9">
        <v>407</v>
      </c>
      <c r="G207" s="9" t="s">
        <v>810</v>
      </c>
      <c r="H207" s="9">
        <v>2034</v>
      </c>
      <c r="I207" s="9" t="s">
        <v>1101</v>
      </c>
      <c r="J207" s="9"/>
    </row>
    <row r="208" spans="1:10" x14ac:dyDescent="0.3">
      <c r="A208" s="13">
        <v>45484</v>
      </c>
      <c r="B208" s="9" t="s">
        <v>407</v>
      </c>
      <c r="C208" s="9" t="s">
        <v>408</v>
      </c>
      <c r="D208" s="9" t="s">
        <v>1035</v>
      </c>
      <c r="E208" s="9" t="s">
        <v>808</v>
      </c>
      <c r="F208" s="9">
        <v>500</v>
      </c>
      <c r="G208" s="9" t="s">
        <v>810</v>
      </c>
      <c r="H208" s="9">
        <v>2035</v>
      </c>
      <c r="I208" s="9" t="s">
        <v>1101</v>
      </c>
      <c r="J208" s="9"/>
    </row>
    <row r="209" spans="1:10" x14ac:dyDescent="0.3">
      <c r="A209" s="13">
        <v>45484</v>
      </c>
      <c r="B209" s="9" t="s">
        <v>1040</v>
      </c>
      <c r="C209" s="9" t="s">
        <v>408</v>
      </c>
      <c r="D209" s="9" t="s">
        <v>1036</v>
      </c>
      <c r="E209" s="9" t="s">
        <v>808</v>
      </c>
      <c r="F209" s="9">
        <v>497</v>
      </c>
      <c r="G209" s="9" t="s">
        <v>810</v>
      </c>
      <c r="H209" s="9">
        <v>2036</v>
      </c>
      <c r="I209" s="9" t="s">
        <v>1101</v>
      </c>
      <c r="J209" s="9"/>
    </row>
    <row r="210" spans="1:10" x14ac:dyDescent="0.3">
      <c r="A210" s="13">
        <v>45484</v>
      </c>
      <c r="B210" s="9" t="s">
        <v>434</v>
      </c>
      <c r="C210" s="9" t="s">
        <v>408</v>
      </c>
      <c r="D210" s="9" t="s">
        <v>1036</v>
      </c>
      <c r="E210" s="9" t="s">
        <v>808</v>
      </c>
      <c r="F210" s="9">
        <v>500</v>
      </c>
      <c r="G210" s="9" t="s">
        <v>810</v>
      </c>
      <c r="H210" s="9">
        <v>2037</v>
      </c>
      <c r="I210" s="9" t="s">
        <v>1101</v>
      </c>
      <c r="J210" s="9"/>
    </row>
    <row r="211" spans="1:10" x14ac:dyDescent="0.3">
      <c r="A211" s="13">
        <v>45484</v>
      </c>
      <c r="B211" s="9" t="s">
        <v>407</v>
      </c>
      <c r="C211" s="9" t="s">
        <v>408</v>
      </c>
      <c r="D211" s="9" t="s">
        <v>1035</v>
      </c>
      <c r="E211" s="9" t="s">
        <v>808</v>
      </c>
      <c r="F211" s="9">
        <v>100</v>
      </c>
      <c r="G211" s="9" t="s">
        <v>810</v>
      </c>
      <c r="H211" s="9">
        <v>2038</v>
      </c>
      <c r="I211" s="9" t="s">
        <v>1101</v>
      </c>
      <c r="J211" s="9"/>
    </row>
    <row r="212" spans="1:10" x14ac:dyDescent="0.3">
      <c r="A212" s="13">
        <v>45484</v>
      </c>
      <c r="B212" s="9" t="s">
        <v>414</v>
      </c>
      <c r="C212" s="9" t="s">
        <v>408</v>
      </c>
      <c r="D212" s="9" t="s">
        <v>1041</v>
      </c>
      <c r="E212" s="9" t="s">
        <v>808</v>
      </c>
      <c r="F212" s="9">
        <v>200</v>
      </c>
      <c r="G212" s="9" t="s">
        <v>810</v>
      </c>
      <c r="H212" s="9">
        <v>2039</v>
      </c>
      <c r="I212" s="9" t="s">
        <v>1101</v>
      </c>
      <c r="J212" s="9"/>
    </row>
    <row r="213" spans="1:10" x14ac:dyDescent="0.3">
      <c r="A213" s="13">
        <v>45484</v>
      </c>
      <c r="B213" s="9" t="s">
        <v>416</v>
      </c>
      <c r="C213" s="9" t="s">
        <v>408</v>
      </c>
      <c r="D213" s="9" t="s">
        <v>1042</v>
      </c>
      <c r="E213" s="9" t="s">
        <v>808</v>
      </c>
      <c r="F213" s="9">
        <v>90</v>
      </c>
      <c r="G213" s="9" t="s">
        <v>810</v>
      </c>
      <c r="H213" s="9">
        <v>2040</v>
      </c>
      <c r="I213" s="9" t="s">
        <v>1101</v>
      </c>
      <c r="J213" s="9"/>
    </row>
    <row r="214" spans="1:10" x14ac:dyDescent="0.3">
      <c r="A214" s="13">
        <v>45484</v>
      </c>
      <c r="B214" s="9" t="s">
        <v>1043</v>
      </c>
      <c r="C214" s="9" t="s">
        <v>408</v>
      </c>
      <c r="D214" s="9" t="s">
        <v>1044</v>
      </c>
      <c r="E214" s="9" t="s">
        <v>808</v>
      </c>
      <c r="F214" s="9">
        <v>106</v>
      </c>
      <c r="G214" s="9" t="s">
        <v>810</v>
      </c>
      <c r="H214" s="9">
        <v>2041</v>
      </c>
      <c r="I214" s="9" t="s">
        <v>1101</v>
      </c>
      <c r="J214" s="9"/>
    </row>
    <row r="215" spans="1:10" x14ac:dyDescent="0.3">
      <c r="A215" s="13">
        <v>45484</v>
      </c>
      <c r="B215" s="9" t="s">
        <v>412</v>
      </c>
      <c r="C215" s="9" t="s">
        <v>408</v>
      </c>
      <c r="D215" s="9" t="s">
        <v>1045</v>
      </c>
      <c r="E215" s="9" t="s">
        <v>808</v>
      </c>
      <c r="F215" s="9">
        <v>700</v>
      </c>
      <c r="G215" s="9" t="s">
        <v>810</v>
      </c>
      <c r="H215" s="9">
        <v>2042</v>
      </c>
      <c r="I215" s="9" t="s">
        <v>1101</v>
      </c>
      <c r="J215" s="9"/>
    </row>
    <row r="216" spans="1:10" x14ac:dyDescent="0.3">
      <c r="A216" s="13">
        <v>45484</v>
      </c>
      <c r="B216" s="9" t="s">
        <v>415</v>
      </c>
      <c r="C216" s="9" t="s">
        <v>408</v>
      </c>
      <c r="D216" s="9" t="s">
        <v>1044</v>
      </c>
      <c r="E216" s="9" t="s">
        <v>808</v>
      </c>
      <c r="F216" s="9">
        <v>570</v>
      </c>
      <c r="G216" s="9" t="s">
        <v>810</v>
      </c>
      <c r="H216" s="9">
        <v>2043</v>
      </c>
      <c r="I216" s="9" t="s">
        <v>1101</v>
      </c>
      <c r="J216" s="9"/>
    </row>
    <row r="217" spans="1:10" x14ac:dyDescent="0.3">
      <c r="A217" s="13">
        <v>45484</v>
      </c>
      <c r="B217" s="9" t="s">
        <v>416</v>
      </c>
      <c r="C217" s="9" t="s">
        <v>408</v>
      </c>
      <c r="D217" s="9" t="s">
        <v>1042</v>
      </c>
      <c r="E217" s="9" t="s">
        <v>808</v>
      </c>
      <c r="F217" s="9">
        <v>500</v>
      </c>
      <c r="G217" s="9" t="s">
        <v>810</v>
      </c>
      <c r="H217" s="9">
        <v>2044</v>
      </c>
      <c r="I217" s="9" t="s">
        <v>1101</v>
      </c>
      <c r="J217" s="9"/>
    </row>
    <row r="218" spans="1:10" x14ac:dyDescent="0.3">
      <c r="A218" s="13">
        <v>45484</v>
      </c>
      <c r="B218" s="9" t="s">
        <v>410</v>
      </c>
      <c r="C218" s="9" t="s">
        <v>408</v>
      </c>
      <c r="D218" s="9" t="s">
        <v>1047</v>
      </c>
      <c r="E218" s="9" t="s">
        <v>808</v>
      </c>
      <c r="F218" s="9">
        <v>28</v>
      </c>
      <c r="G218" s="9" t="s">
        <v>810</v>
      </c>
      <c r="H218" s="9">
        <v>2045</v>
      </c>
      <c r="I218" s="9" t="s">
        <v>1101</v>
      </c>
      <c r="J218" s="9"/>
    </row>
    <row r="219" spans="1:10" x14ac:dyDescent="0.3">
      <c r="A219" s="13">
        <v>45484</v>
      </c>
      <c r="B219" s="9" t="s">
        <v>1046</v>
      </c>
      <c r="C219" s="9" t="s">
        <v>408</v>
      </c>
      <c r="D219" s="9" t="s">
        <v>1047</v>
      </c>
      <c r="E219" s="9" t="s">
        <v>808</v>
      </c>
      <c r="F219" s="9">
        <v>190</v>
      </c>
      <c r="G219" s="9" t="s">
        <v>810</v>
      </c>
      <c r="H219" s="9">
        <v>2046</v>
      </c>
      <c r="I219" s="9" t="s">
        <v>1101</v>
      </c>
      <c r="J219" s="9"/>
    </row>
    <row r="220" spans="1:10" x14ac:dyDescent="0.3">
      <c r="A220" s="13">
        <v>45484</v>
      </c>
      <c r="B220" s="9" t="s">
        <v>410</v>
      </c>
      <c r="C220" s="9" t="s">
        <v>408</v>
      </c>
      <c r="D220" s="9" t="s">
        <v>1047</v>
      </c>
      <c r="E220" s="9" t="s">
        <v>808</v>
      </c>
      <c r="F220" s="9">
        <v>248</v>
      </c>
      <c r="G220" s="9" t="s">
        <v>810</v>
      </c>
      <c r="H220" s="9">
        <v>2047</v>
      </c>
      <c r="I220" s="9" t="s">
        <v>1101</v>
      </c>
      <c r="J220" s="9"/>
    </row>
    <row r="221" spans="1:10" x14ac:dyDescent="0.3">
      <c r="A221" s="13">
        <v>45484</v>
      </c>
      <c r="B221" s="9" t="s">
        <v>409</v>
      </c>
      <c r="C221" s="9" t="s">
        <v>408</v>
      </c>
      <c r="D221" s="9" t="s">
        <v>1048</v>
      </c>
      <c r="E221" s="9" t="s">
        <v>808</v>
      </c>
      <c r="F221" s="9">
        <v>210</v>
      </c>
      <c r="G221" s="9" t="s">
        <v>810</v>
      </c>
      <c r="H221" s="9">
        <v>2048</v>
      </c>
      <c r="I221" s="9" t="s">
        <v>1101</v>
      </c>
      <c r="J221" s="9"/>
    </row>
    <row r="222" spans="1:10" x14ac:dyDescent="0.3">
      <c r="A222" s="13">
        <v>45484</v>
      </c>
      <c r="B222" s="9" t="s">
        <v>433</v>
      </c>
      <c r="C222" s="9" t="s">
        <v>408</v>
      </c>
      <c r="D222" s="9" t="s">
        <v>1049</v>
      </c>
      <c r="E222" s="9" t="s">
        <v>808</v>
      </c>
      <c r="F222" s="9">
        <v>900</v>
      </c>
      <c r="G222" s="9" t="s">
        <v>810</v>
      </c>
      <c r="H222" s="9">
        <v>2049</v>
      </c>
      <c r="I222" s="9" t="s">
        <v>1101</v>
      </c>
      <c r="J222" s="9"/>
    </row>
    <row r="223" spans="1:10" x14ac:dyDescent="0.3">
      <c r="A223" s="13">
        <v>45484</v>
      </c>
      <c r="B223" s="9" t="s">
        <v>1050</v>
      </c>
      <c r="C223" s="9" t="s">
        <v>408</v>
      </c>
      <c r="D223" s="9" t="s">
        <v>1051</v>
      </c>
      <c r="E223" s="9" t="s">
        <v>808</v>
      </c>
      <c r="F223" s="9">
        <v>500</v>
      </c>
      <c r="G223" s="9" t="s">
        <v>810</v>
      </c>
      <c r="H223" s="9">
        <v>2050</v>
      </c>
      <c r="I223" s="9" t="s">
        <v>1101</v>
      </c>
      <c r="J223" s="9"/>
    </row>
    <row r="224" spans="1:10" x14ac:dyDescent="0.3">
      <c r="A224" s="13">
        <v>45484</v>
      </c>
      <c r="B224" s="9" t="s">
        <v>429</v>
      </c>
      <c r="C224" s="9" t="s">
        <v>408</v>
      </c>
      <c r="D224" s="9" t="s">
        <v>1052</v>
      </c>
      <c r="E224" s="9" t="s">
        <v>808</v>
      </c>
      <c r="F224" s="9">
        <v>1000</v>
      </c>
      <c r="G224" s="9" t="s">
        <v>810</v>
      </c>
      <c r="H224" s="9">
        <v>2051</v>
      </c>
      <c r="I224" s="9" t="s">
        <v>1101</v>
      </c>
      <c r="J224" s="9"/>
    </row>
    <row r="225" spans="1:10" x14ac:dyDescent="0.3">
      <c r="A225" s="13">
        <v>45484</v>
      </c>
      <c r="B225" s="9" t="s">
        <v>432</v>
      </c>
      <c r="C225" s="9" t="s">
        <v>408</v>
      </c>
      <c r="D225" s="9" t="s">
        <v>1053</v>
      </c>
      <c r="E225" s="9" t="s">
        <v>808</v>
      </c>
      <c r="F225" s="9">
        <v>1000</v>
      </c>
      <c r="G225" s="9" t="s">
        <v>810</v>
      </c>
      <c r="H225" s="9">
        <v>2052</v>
      </c>
      <c r="I225" s="9" t="s">
        <v>1101</v>
      </c>
      <c r="J225" s="9"/>
    </row>
    <row r="226" spans="1:10" x14ac:dyDescent="0.3">
      <c r="A226" s="13">
        <v>45484</v>
      </c>
      <c r="B226" s="9" t="s">
        <v>428</v>
      </c>
      <c r="C226" s="9" t="s">
        <v>408</v>
      </c>
      <c r="D226" s="9" t="s">
        <v>1054</v>
      </c>
      <c r="E226" s="9" t="s">
        <v>808</v>
      </c>
      <c r="F226" s="9">
        <v>999</v>
      </c>
      <c r="G226" s="9" t="s">
        <v>810</v>
      </c>
      <c r="H226" s="9">
        <v>2053</v>
      </c>
      <c r="I226" s="9" t="s">
        <v>1101</v>
      </c>
      <c r="J226" s="9"/>
    </row>
    <row r="227" spans="1:10" x14ac:dyDescent="0.3">
      <c r="A227" s="13">
        <v>45484</v>
      </c>
      <c r="B227" s="9" t="s">
        <v>431</v>
      </c>
      <c r="C227" s="9" t="s">
        <v>408</v>
      </c>
      <c r="D227" s="9" t="s">
        <v>1055</v>
      </c>
      <c r="E227" s="9" t="s">
        <v>808</v>
      </c>
      <c r="F227" s="9">
        <v>1000</v>
      </c>
      <c r="G227" s="9" t="s">
        <v>810</v>
      </c>
      <c r="H227" s="9">
        <v>2054</v>
      </c>
      <c r="I227" s="9" t="s">
        <v>1101</v>
      </c>
      <c r="J227" s="9"/>
    </row>
    <row r="228" spans="1:10" x14ac:dyDescent="0.3">
      <c r="A228" s="13">
        <v>45485</v>
      </c>
      <c r="B228" s="9" t="s">
        <v>435</v>
      </c>
      <c r="C228" s="9" t="s">
        <v>408</v>
      </c>
      <c r="D228" s="9" t="s">
        <v>1058</v>
      </c>
      <c r="E228" s="9" t="s">
        <v>808</v>
      </c>
      <c r="F228" s="9">
        <v>2000</v>
      </c>
      <c r="G228" s="9" t="s">
        <v>810</v>
      </c>
      <c r="H228" s="9">
        <v>2055</v>
      </c>
      <c r="I228" s="9" t="s">
        <v>1101</v>
      </c>
    </row>
    <row r="229" spans="1:10" x14ac:dyDescent="0.3">
      <c r="A229" s="13">
        <v>45485</v>
      </c>
      <c r="B229" s="9" t="s">
        <v>436</v>
      </c>
      <c r="C229" s="9" t="s">
        <v>408</v>
      </c>
      <c r="D229" s="9" t="s">
        <v>1060</v>
      </c>
      <c r="E229" s="9" t="s">
        <v>808</v>
      </c>
      <c r="F229" s="9">
        <v>1000</v>
      </c>
      <c r="G229" s="9" t="s">
        <v>810</v>
      </c>
      <c r="H229" s="9">
        <v>2056</v>
      </c>
      <c r="I229" s="9" t="s">
        <v>1101</v>
      </c>
    </row>
    <row r="230" spans="1:10" x14ac:dyDescent="0.3">
      <c r="A230" s="13">
        <v>45485</v>
      </c>
      <c r="B230" s="9" t="s">
        <v>417</v>
      </c>
      <c r="C230" s="9" t="s">
        <v>408</v>
      </c>
      <c r="D230" s="9" t="s">
        <v>1061</v>
      </c>
      <c r="E230" s="9" t="s">
        <v>808</v>
      </c>
      <c r="F230" s="9">
        <v>309</v>
      </c>
      <c r="G230" s="9" t="s">
        <v>810</v>
      </c>
      <c r="H230" s="9">
        <v>2057</v>
      </c>
      <c r="I230" s="9" t="s">
        <v>1101</v>
      </c>
    </row>
    <row r="231" spans="1:10" x14ac:dyDescent="0.3">
      <c r="A231" s="13">
        <v>45485</v>
      </c>
      <c r="B231" s="9" t="s">
        <v>418</v>
      </c>
      <c r="C231" s="9" t="s">
        <v>408</v>
      </c>
      <c r="D231" s="9" t="s">
        <v>1062</v>
      </c>
      <c r="E231" s="9" t="s">
        <v>808</v>
      </c>
      <c r="F231" s="9">
        <v>1063</v>
      </c>
      <c r="G231" s="9" t="s">
        <v>810</v>
      </c>
      <c r="H231" s="9">
        <v>2058</v>
      </c>
      <c r="I231" s="9" t="s">
        <v>1101</v>
      </c>
    </row>
    <row r="232" spans="1:10" x14ac:dyDescent="0.3">
      <c r="A232" s="13">
        <v>45485</v>
      </c>
      <c r="B232" s="31" t="s">
        <v>212</v>
      </c>
      <c r="C232" s="9" t="s">
        <v>204</v>
      </c>
      <c r="D232" s="9" t="s">
        <v>1063</v>
      </c>
      <c r="E232" s="9" t="s">
        <v>808</v>
      </c>
      <c r="F232" s="9">
        <v>3669</v>
      </c>
      <c r="G232" s="9" t="s">
        <v>810</v>
      </c>
      <c r="H232" s="9">
        <v>119</v>
      </c>
      <c r="I232" s="9" t="s">
        <v>1064</v>
      </c>
    </row>
    <row r="233" spans="1:10" x14ac:dyDescent="0.3">
      <c r="A233" s="13">
        <v>45485</v>
      </c>
      <c r="B233" s="9" t="s">
        <v>1065</v>
      </c>
      <c r="C233" s="9" t="s">
        <v>204</v>
      </c>
      <c r="D233" s="9" t="s">
        <v>875</v>
      </c>
      <c r="E233" s="9" t="s">
        <v>808</v>
      </c>
      <c r="F233" s="9">
        <v>4000</v>
      </c>
      <c r="G233" s="9" t="s">
        <v>810</v>
      </c>
      <c r="H233" s="9">
        <v>120</v>
      </c>
      <c r="I233" s="9" t="s">
        <v>1064</v>
      </c>
    </row>
    <row r="234" spans="1:10" x14ac:dyDescent="0.3">
      <c r="A234" s="13">
        <v>45485</v>
      </c>
      <c r="B234" s="9" t="s">
        <v>205</v>
      </c>
      <c r="C234" s="9" t="s">
        <v>204</v>
      </c>
      <c r="D234" s="9" t="s">
        <v>875</v>
      </c>
      <c r="E234" s="9" t="s">
        <v>808</v>
      </c>
      <c r="F234" s="9">
        <v>1999</v>
      </c>
      <c r="G234" s="9" t="s">
        <v>810</v>
      </c>
      <c r="H234" s="9">
        <v>121</v>
      </c>
      <c r="I234" s="9" t="s">
        <v>1064</v>
      </c>
    </row>
    <row r="235" spans="1:10" x14ac:dyDescent="0.3">
      <c r="A235" s="13">
        <v>45485</v>
      </c>
      <c r="B235" s="9" t="s">
        <v>208</v>
      </c>
      <c r="C235" s="9" t="s">
        <v>204</v>
      </c>
      <c r="D235" s="9" t="s">
        <v>877</v>
      </c>
      <c r="E235" s="9" t="s">
        <v>808</v>
      </c>
      <c r="F235" s="9">
        <v>3737</v>
      </c>
      <c r="G235" s="9" t="s">
        <v>810</v>
      </c>
      <c r="H235" s="9">
        <v>122</v>
      </c>
      <c r="I235" s="9" t="s">
        <v>1064</v>
      </c>
    </row>
    <row r="236" spans="1:10" x14ac:dyDescent="0.3">
      <c r="A236" s="13">
        <v>45485</v>
      </c>
      <c r="B236" s="9" t="s">
        <v>239</v>
      </c>
      <c r="C236" s="9" t="s">
        <v>240</v>
      </c>
      <c r="D236" s="9" t="s">
        <v>1066</v>
      </c>
      <c r="E236" s="9" t="s">
        <v>808</v>
      </c>
      <c r="F236" s="9">
        <v>1202</v>
      </c>
      <c r="G236" s="9" t="s">
        <v>810</v>
      </c>
      <c r="H236" s="9">
        <v>123</v>
      </c>
      <c r="I236" s="9" t="s">
        <v>1064</v>
      </c>
    </row>
    <row r="237" spans="1:10" x14ac:dyDescent="0.3">
      <c r="A237" s="13">
        <v>45485</v>
      </c>
      <c r="B237" s="9" t="s">
        <v>80</v>
      </c>
      <c r="C237" s="9" t="s">
        <v>81</v>
      </c>
      <c r="D237" s="9" t="s">
        <v>812</v>
      </c>
      <c r="E237" s="9" t="s">
        <v>808</v>
      </c>
      <c r="F237" s="9">
        <v>4981</v>
      </c>
      <c r="G237" s="9" t="s">
        <v>810</v>
      </c>
      <c r="H237" s="9">
        <v>124</v>
      </c>
      <c r="I237" s="9" t="s">
        <v>1064</v>
      </c>
    </row>
    <row r="238" spans="1:10" x14ac:dyDescent="0.3">
      <c r="A238" s="13">
        <v>45485</v>
      </c>
      <c r="B238" s="9" t="s">
        <v>128</v>
      </c>
      <c r="C238" s="9" t="s">
        <v>81</v>
      </c>
      <c r="D238" s="9" t="s">
        <v>1067</v>
      </c>
      <c r="E238" s="9" t="s">
        <v>808</v>
      </c>
      <c r="F238" s="9">
        <v>4056</v>
      </c>
      <c r="G238" s="9" t="s">
        <v>810</v>
      </c>
      <c r="H238" s="9">
        <v>125</v>
      </c>
      <c r="I238" s="9" t="s">
        <v>1064</v>
      </c>
    </row>
    <row r="239" spans="1:10" x14ac:dyDescent="0.3">
      <c r="A239" s="13">
        <v>45485</v>
      </c>
      <c r="B239" s="9" t="s">
        <v>88</v>
      </c>
      <c r="C239" s="9" t="s">
        <v>81</v>
      </c>
      <c r="D239" s="9" t="s">
        <v>1068</v>
      </c>
      <c r="E239" s="9" t="s">
        <v>808</v>
      </c>
      <c r="F239" s="9">
        <v>1540</v>
      </c>
      <c r="G239" s="9" t="s">
        <v>810</v>
      </c>
      <c r="H239" s="9">
        <v>126</v>
      </c>
      <c r="I239" s="9" t="s">
        <v>1064</v>
      </c>
    </row>
    <row r="240" spans="1:10" x14ac:dyDescent="0.3">
      <c r="A240" s="13">
        <v>45485</v>
      </c>
      <c r="B240" s="9" t="s">
        <v>118</v>
      </c>
      <c r="C240" s="9" t="s">
        <v>81</v>
      </c>
      <c r="D240" s="9" t="s">
        <v>1069</v>
      </c>
      <c r="E240" s="9" t="s">
        <v>808</v>
      </c>
      <c r="F240" s="9">
        <v>3827</v>
      </c>
      <c r="G240" s="9" t="s">
        <v>810</v>
      </c>
      <c r="H240" s="9">
        <v>127</v>
      </c>
      <c r="I240" s="9" t="s">
        <v>1064</v>
      </c>
    </row>
    <row r="241" spans="1:9" x14ac:dyDescent="0.3">
      <c r="A241" s="13">
        <v>45485</v>
      </c>
      <c r="B241" s="9" t="s">
        <v>120</v>
      </c>
      <c r="C241" s="9" t="s">
        <v>81</v>
      </c>
      <c r="D241" s="9" t="s">
        <v>1070</v>
      </c>
      <c r="E241" s="9" t="s">
        <v>808</v>
      </c>
      <c r="F241" s="9">
        <v>4164</v>
      </c>
      <c r="G241" s="9" t="s">
        <v>810</v>
      </c>
      <c r="H241" s="9">
        <v>128</v>
      </c>
      <c r="I241" s="9" t="s">
        <v>1064</v>
      </c>
    </row>
    <row r="242" spans="1:9" x14ac:dyDescent="0.3">
      <c r="A242" s="13">
        <v>45485</v>
      </c>
      <c r="B242" s="9" t="s">
        <v>90</v>
      </c>
      <c r="C242" s="9" t="s">
        <v>81</v>
      </c>
      <c r="D242" s="9" t="s">
        <v>1071</v>
      </c>
      <c r="E242" s="9" t="s">
        <v>808</v>
      </c>
      <c r="F242" s="9">
        <v>3522</v>
      </c>
      <c r="G242" s="9" t="s">
        <v>810</v>
      </c>
      <c r="H242" s="9">
        <v>129</v>
      </c>
      <c r="I242" s="9" t="s">
        <v>1064</v>
      </c>
    </row>
    <row r="243" spans="1:9" x14ac:dyDescent="0.3">
      <c r="A243" s="13">
        <v>45485</v>
      </c>
      <c r="B243" s="9" t="s">
        <v>93</v>
      </c>
      <c r="C243" s="9" t="s">
        <v>81</v>
      </c>
      <c r="D243" s="9" t="s">
        <v>1072</v>
      </c>
      <c r="E243" s="9" t="s">
        <v>808</v>
      </c>
      <c r="F243" s="9">
        <v>3368</v>
      </c>
      <c r="G243" s="9" t="s">
        <v>810</v>
      </c>
      <c r="H243" s="9">
        <v>130</v>
      </c>
      <c r="I243" s="9" t="s">
        <v>1064</v>
      </c>
    </row>
    <row r="244" spans="1:9" x14ac:dyDescent="0.3">
      <c r="A244" s="13">
        <v>45485</v>
      </c>
      <c r="B244" s="9" t="s">
        <v>380</v>
      </c>
      <c r="C244" s="9" t="s">
        <v>379</v>
      </c>
      <c r="D244" s="9" t="s">
        <v>1073</v>
      </c>
      <c r="E244" s="9" t="s">
        <v>808</v>
      </c>
      <c r="F244" s="9">
        <v>563</v>
      </c>
      <c r="G244" s="9" t="s">
        <v>810</v>
      </c>
      <c r="H244" s="9">
        <v>131</v>
      </c>
      <c r="I244" s="9" t="s">
        <v>1064</v>
      </c>
    </row>
    <row r="245" spans="1:9" x14ac:dyDescent="0.3">
      <c r="A245" s="13">
        <v>45485</v>
      </c>
      <c r="B245" s="9" t="s">
        <v>381</v>
      </c>
      <c r="C245" s="9" t="s">
        <v>379</v>
      </c>
      <c r="D245" s="9" t="s">
        <v>897</v>
      </c>
      <c r="E245" s="9" t="s">
        <v>808</v>
      </c>
      <c r="F245" s="9">
        <v>537</v>
      </c>
      <c r="G245" s="9" t="s">
        <v>810</v>
      </c>
      <c r="H245" s="9">
        <v>132</v>
      </c>
      <c r="I245" s="9" t="s">
        <v>1064</v>
      </c>
    </row>
    <row r="246" spans="1:9" x14ac:dyDescent="0.3">
      <c r="A246" s="13">
        <v>45485</v>
      </c>
      <c r="B246" s="9" t="s">
        <v>11</v>
      </c>
      <c r="C246" s="9" t="s">
        <v>7</v>
      </c>
      <c r="D246" s="9" t="s">
        <v>12</v>
      </c>
      <c r="E246" s="9" t="s">
        <v>808</v>
      </c>
      <c r="F246" s="9">
        <v>213</v>
      </c>
      <c r="G246" s="9" t="s">
        <v>810</v>
      </c>
      <c r="H246" s="9">
        <v>133</v>
      </c>
      <c r="I246" s="9" t="s">
        <v>1064</v>
      </c>
    </row>
    <row r="247" spans="1:9" x14ac:dyDescent="0.3">
      <c r="A247" s="13">
        <v>45485</v>
      </c>
      <c r="B247" s="9" t="s">
        <v>938</v>
      </c>
      <c r="C247" s="9" t="s">
        <v>204</v>
      </c>
      <c r="D247" s="9" t="s">
        <v>1074</v>
      </c>
      <c r="E247" s="9" t="s">
        <v>808</v>
      </c>
      <c r="F247" s="9">
        <v>2904</v>
      </c>
      <c r="G247" s="9" t="s">
        <v>810</v>
      </c>
      <c r="H247" s="9">
        <v>134</v>
      </c>
      <c r="I247" s="9" t="s">
        <v>1064</v>
      </c>
    </row>
    <row r="248" spans="1:9" x14ac:dyDescent="0.3">
      <c r="A248" s="13">
        <v>45485</v>
      </c>
      <c r="B248" s="9" t="s">
        <v>226</v>
      </c>
      <c r="C248" s="9" t="s">
        <v>204</v>
      </c>
      <c r="D248" s="9" t="s">
        <v>1075</v>
      </c>
      <c r="E248" s="9" t="s">
        <v>808</v>
      </c>
      <c r="F248" s="9">
        <v>3732</v>
      </c>
      <c r="G248" s="9" t="s">
        <v>810</v>
      </c>
      <c r="H248" s="9">
        <v>135</v>
      </c>
      <c r="I248" s="9" t="s">
        <v>1064</v>
      </c>
    </row>
    <row r="249" spans="1:9" x14ac:dyDescent="0.3">
      <c r="A249" s="13">
        <v>45485</v>
      </c>
      <c r="B249" s="9" t="s">
        <v>219</v>
      </c>
      <c r="C249" s="9" t="s">
        <v>204</v>
      </c>
      <c r="D249" s="9" t="s">
        <v>1076</v>
      </c>
      <c r="E249" s="9" t="s">
        <v>808</v>
      </c>
      <c r="F249" s="9">
        <v>3418</v>
      </c>
      <c r="G249" s="9" t="s">
        <v>810</v>
      </c>
      <c r="H249" s="9">
        <v>136</v>
      </c>
      <c r="I249" s="9" t="s">
        <v>1064</v>
      </c>
    </row>
    <row r="250" spans="1:9" x14ac:dyDescent="0.3">
      <c r="A250" s="13">
        <v>45485</v>
      </c>
      <c r="B250" s="9" t="s">
        <v>221</v>
      </c>
      <c r="C250" s="9" t="s">
        <v>204</v>
      </c>
      <c r="D250" s="9" t="s">
        <v>882</v>
      </c>
      <c r="E250" s="9" t="s">
        <v>808</v>
      </c>
      <c r="F250" s="9">
        <v>3924</v>
      </c>
      <c r="G250" s="9" t="s">
        <v>810</v>
      </c>
      <c r="H250" s="9">
        <v>137</v>
      </c>
      <c r="I250" s="9" t="s">
        <v>1064</v>
      </c>
    </row>
    <row r="251" spans="1:9" x14ac:dyDescent="0.3">
      <c r="A251" s="13">
        <v>45485</v>
      </c>
      <c r="B251" s="9" t="s">
        <v>221</v>
      </c>
      <c r="C251" s="9" t="s">
        <v>204</v>
      </c>
      <c r="D251" s="9" t="s">
        <v>882</v>
      </c>
      <c r="E251" s="9" t="s">
        <v>808</v>
      </c>
      <c r="F251" s="9">
        <v>2423</v>
      </c>
      <c r="G251" s="9" t="s">
        <v>810</v>
      </c>
      <c r="H251" s="9">
        <v>138</v>
      </c>
      <c r="I251" s="9" t="s">
        <v>1064</v>
      </c>
    </row>
    <row r="252" spans="1:9" x14ac:dyDescent="0.3">
      <c r="A252" s="13">
        <v>45485</v>
      </c>
      <c r="B252" s="9" t="s">
        <v>206</v>
      </c>
      <c r="C252" s="9" t="s">
        <v>204</v>
      </c>
      <c r="D252" s="9" t="s">
        <v>1077</v>
      </c>
      <c r="E252" s="9" t="s">
        <v>808</v>
      </c>
      <c r="F252" s="9">
        <v>1942</v>
      </c>
      <c r="G252" s="9" t="s">
        <v>810</v>
      </c>
      <c r="H252" s="9">
        <v>139</v>
      </c>
      <c r="I252" s="9" t="s">
        <v>1064</v>
      </c>
    </row>
    <row r="253" spans="1:9" x14ac:dyDescent="0.3">
      <c r="A253" s="13">
        <v>45485</v>
      </c>
      <c r="B253" s="9" t="s">
        <v>209</v>
      </c>
      <c r="C253" s="9" t="s">
        <v>204</v>
      </c>
      <c r="D253" s="9" t="s">
        <v>1078</v>
      </c>
      <c r="E253" s="9" t="s">
        <v>808</v>
      </c>
      <c r="F253" s="9">
        <v>3664</v>
      </c>
      <c r="G253" s="9" t="s">
        <v>810</v>
      </c>
      <c r="H253" s="9">
        <v>140</v>
      </c>
      <c r="I253" s="9" t="s">
        <v>1064</v>
      </c>
    </row>
    <row r="254" spans="1:9" x14ac:dyDescent="0.3">
      <c r="A254" s="13">
        <v>45485</v>
      </c>
      <c r="B254" s="9" t="s">
        <v>211</v>
      </c>
      <c r="C254" s="9" t="s">
        <v>204</v>
      </c>
      <c r="D254" s="9" t="s">
        <v>880</v>
      </c>
      <c r="E254" s="9" t="s">
        <v>808</v>
      </c>
      <c r="F254" s="9">
        <v>3304</v>
      </c>
      <c r="G254" s="9" t="s">
        <v>810</v>
      </c>
      <c r="H254" s="9">
        <v>141</v>
      </c>
      <c r="I254" s="9" t="s">
        <v>1064</v>
      </c>
    </row>
    <row r="255" spans="1:9" x14ac:dyDescent="0.3">
      <c r="A255" s="13">
        <v>45485</v>
      </c>
      <c r="B255" s="9" t="s">
        <v>309</v>
      </c>
      <c r="C255" s="9" t="s">
        <v>310</v>
      </c>
      <c r="D255" s="9" t="s">
        <v>1079</v>
      </c>
      <c r="E255" s="9" t="s">
        <v>808</v>
      </c>
      <c r="F255" s="9">
        <v>1927</v>
      </c>
      <c r="G255" s="9" t="s">
        <v>810</v>
      </c>
      <c r="H255" s="9">
        <v>142</v>
      </c>
      <c r="I255" s="9" t="s">
        <v>1064</v>
      </c>
    </row>
    <row r="256" spans="1:9" x14ac:dyDescent="0.3">
      <c r="A256" s="13">
        <v>45485</v>
      </c>
      <c r="B256" s="9" t="s">
        <v>218</v>
      </c>
      <c r="C256" s="9" t="s">
        <v>204</v>
      </c>
      <c r="D256" s="9" t="s">
        <v>1080</v>
      </c>
      <c r="E256" s="9" t="s">
        <v>808</v>
      </c>
      <c r="F256" s="9">
        <v>1298</v>
      </c>
      <c r="G256" s="9" t="s">
        <v>810</v>
      </c>
      <c r="H256" s="9">
        <v>143</v>
      </c>
      <c r="I256" s="9" t="s">
        <v>1064</v>
      </c>
    </row>
    <row r="257" spans="1:9" x14ac:dyDescent="0.3">
      <c r="A257" s="13">
        <v>45485</v>
      </c>
      <c r="B257" s="9" t="s">
        <v>975</v>
      </c>
      <c r="C257" s="9" t="s">
        <v>7</v>
      </c>
      <c r="D257" s="9" t="s">
        <v>10</v>
      </c>
      <c r="E257" s="9" t="s">
        <v>808</v>
      </c>
      <c r="F257" s="9">
        <v>497</v>
      </c>
      <c r="G257" s="9" t="s">
        <v>810</v>
      </c>
      <c r="H257" s="9">
        <v>144</v>
      </c>
      <c r="I257" s="9" t="s">
        <v>1094</v>
      </c>
    </row>
    <row r="258" spans="1:9" x14ac:dyDescent="0.3">
      <c r="A258" s="13">
        <v>45485</v>
      </c>
      <c r="B258" s="9" t="s">
        <v>301</v>
      </c>
      <c r="C258" s="9" t="s">
        <v>279</v>
      </c>
      <c r="D258" s="9" t="s">
        <v>302</v>
      </c>
      <c r="E258" s="9" t="s">
        <v>808</v>
      </c>
      <c r="F258" s="9">
        <v>2554</v>
      </c>
      <c r="G258" s="9" t="s">
        <v>810</v>
      </c>
      <c r="H258" s="9">
        <v>145</v>
      </c>
      <c r="I258" s="9" t="s">
        <v>1064</v>
      </c>
    </row>
    <row r="259" spans="1:9" x14ac:dyDescent="0.3">
      <c r="A259" s="13">
        <v>45485</v>
      </c>
      <c r="B259" s="9" t="s">
        <v>248</v>
      </c>
      <c r="C259" s="9" t="s">
        <v>249</v>
      </c>
      <c r="D259" s="9" t="s">
        <v>1081</v>
      </c>
      <c r="E259" s="9" t="s">
        <v>808</v>
      </c>
      <c r="F259" s="9">
        <v>1150</v>
      </c>
      <c r="G259" s="9" t="s">
        <v>810</v>
      </c>
      <c r="H259" s="9">
        <v>146</v>
      </c>
      <c r="I259" s="9" t="s">
        <v>1064</v>
      </c>
    </row>
    <row r="260" spans="1:9" x14ac:dyDescent="0.3">
      <c r="A260" s="13">
        <v>45485</v>
      </c>
      <c r="B260" s="9" t="s">
        <v>250</v>
      </c>
      <c r="C260" s="9" t="s">
        <v>249</v>
      </c>
      <c r="D260" s="9" t="s">
        <v>1082</v>
      </c>
      <c r="E260" s="9" t="s">
        <v>808</v>
      </c>
      <c r="F260" s="9">
        <v>1572</v>
      </c>
      <c r="G260" s="9" t="s">
        <v>810</v>
      </c>
      <c r="H260" s="9">
        <v>147</v>
      </c>
      <c r="I260" s="9" t="s">
        <v>1064</v>
      </c>
    </row>
    <row r="261" spans="1:9" x14ac:dyDescent="0.3">
      <c r="A261" s="13">
        <v>45485</v>
      </c>
      <c r="B261" s="9" t="s">
        <v>498</v>
      </c>
      <c r="C261" s="9" t="s">
        <v>898</v>
      </c>
      <c r="D261" s="9" t="s">
        <v>1083</v>
      </c>
      <c r="E261" s="9" t="s">
        <v>808</v>
      </c>
      <c r="F261" s="9">
        <v>967</v>
      </c>
      <c r="G261" s="9" t="s">
        <v>810</v>
      </c>
      <c r="H261" s="9">
        <v>148</v>
      </c>
      <c r="I261" s="9" t="s">
        <v>1064</v>
      </c>
    </row>
    <row r="262" spans="1:9" x14ac:dyDescent="0.3">
      <c r="A262" s="13">
        <v>45485</v>
      </c>
      <c r="B262" s="9" t="s">
        <v>248</v>
      </c>
      <c r="C262" s="9" t="s">
        <v>249</v>
      </c>
      <c r="D262" s="9" t="s">
        <v>1081</v>
      </c>
      <c r="E262" s="9" t="s">
        <v>808</v>
      </c>
      <c r="F262" s="9">
        <v>209</v>
      </c>
      <c r="G262" s="9" t="s">
        <v>810</v>
      </c>
      <c r="H262" s="9">
        <v>149</v>
      </c>
      <c r="I262" s="9" t="s">
        <v>1064</v>
      </c>
    </row>
    <row r="263" spans="1:9" x14ac:dyDescent="0.3">
      <c r="A263" s="13">
        <v>45485</v>
      </c>
      <c r="B263" s="9" t="s">
        <v>498</v>
      </c>
      <c r="C263" s="9" t="s">
        <v>898</v>
      </c>
      <c r="D263" s="9" t="s">
        <v>1083</v>
      </c>
      <c r="E263" s="9" t="s">
        <v>808</v>
      </c>
      <c r="F263" s="9">
        <v>1000</v>
      </c>
      <c r="G263" s="9" t="s">
        <v>810</v>
      </c>
      <c r="H263" s="9">
        <v>150</v>
      </c>
      <c r="I263" s="9" t="s">
        <v>1064</v>
      </c>
    </row>
    <row r="264" spans="1:9" x14ac:dyDescent="0.3">
      <c r="A264" s="13">
        <v>45485</v>
      </c>
      <c r="B264" s="9" t="s">
        <v>283</v>
      </c>
      <c r="C264" s="9" t="s">
        <v>279</v>
      </c>
      <c r="D264" s="9" t="s">
        <v>284</v>
      </c>
      <c r="E264" s="9" t="s">
        <v>808</v>
      </c>
      <c r="F264" s="9">
        <v>3000</v>
      </c>
      <c r="G264" s="9" t="s">
        <v>810</v>
      </c>
      <c r="H264" s="9">
        <v>151</v>
      </c>
      <c r="I264" s="9" t="s">
        <v>1064</v>
      </c>
    </row>
    <row r="265" spans="1:9" x14ac:dyDescent="0.3">
      <c r="A265" s="13">
        <v>45485</v>
      </c>
      <c r="B265" s="9" t="s">
        <v>285</v>
      </c>
      <c r="C265" s="9" t="s">
        <v>279</v>
      </c>
      <c r="D265" s="9" t="s">
        <v>286</v>
      </c>
      <c r="E265" s="9" t="s">
        <v>808</v>
      </c>
      <c r="F265" s="9">
        <v>2862</v>
      </c>
      <c r="G265" s="9" t="s">
        <v>810</v>
      </c>
      <c r="H265" s="9">
        <v>152</v>
      </c>
      <c r="I265" s="9" t="s">
        <v>1064</v>
      </c>
    </row>
    <row r="266" spans="1:9" x14ac:dyDescent="0.3">
      <c r="A266" s="13">
        <v>45485</v>
      </c>
      <c r="B266" s="9" t="s">
        <v>354</v>
      </c>
      <c r="C266" s="9" t="s">
        <v>351</v>
      </c>
      <c r="D266" s="9" t="s">
        <v>894</v>
      </c>
      <c r="E266" s="9" t="s">
        <v>808</v>
      </c>
      <c r="F266" s="9">
        <v>98</v>
      </c>
      <c r="G266" s="9" t="s">
        <v>810</v>
      </c>
      <c r="H266" s="9">
        <v>153</v>
      </c>
      <c r="I266" s="9" t="s">
        <v>1064</v>
      </c>
    </row>
    <row r="267" spans="1:9" x14ac:dyDescent="0.3">
      <c r="A267" s="13">
        <v>45485</v>
      </c>
      <c r="B267" s="9" t="s">
        <v>64</v>
      </c>
      <c r="C267" s="9" t="s">
        <v>60</v>
      </c>
      <c r="D267" s="9" t="s">
        <v>65</v>
      </c>
      <c r="E267" s="9" t="s">
        <v>808</v>
      </c>
      <c r="F267" s="9">
        <v>2056</v>
      </c>
      <c r="G267" s="9" t="s">
        <v>810</v>
      </c>
      <c r="H267" s="9">
        <v>154</v>
      </c>
      <c r="I267" s="9" t="s">
        <v>1064</v>
      </c>
    </row>
    <row r="268" spans="1:9" x14ac:dyDescent="0.3">
      <c r="A268" s="13">
        <v>45485</v>
      </c>
      <c r="B268" s="9" t="s">
        <v>498</v>
      </c>
      <c r="C268" s="9" t="s">
        <v>898</v>
      </c>
      <c r="D268" s="9" t="s">
        <v>1083</v>
      </c>
      <c r="E268" s="9" t="s">
        <v>808</v>
      </c>
      <c r="F268" s="9">
        <v>1762</v>
      </c>
      <c r="G268" s="9" t="s">
        <v>810</v>
      </c>
      <c r="H268" s="9">
        <v>155</v>
      </c>
      <c r="I268" s="9" t="s">
        <v>1064</v>
      </c>
    </row>
    <row r="269" spans="1:9" x14ac:dyDescent="0.3">
      <c r="A269" s="13">
        <v>45485</v>
      </c>
      <c r="B269" s="9" t="s">
        <v>378</v>
      </c>
      <c r="C269" s="9" t="s">
        <v>379</v>
      </c>
      <c r="D269" s="9" t="s">
        <v>1084</v>
      </c>
      <c r="E269" s="9" t="s">
        <v>808</v>
      </c>
      <c r="F269" s="9">
        <v>33</v>
      </c>
      <c r="G269" s="9" t="s">
        <v>810</v>
      </c>
      <c r="H269" s="9">
        <v>156</v>
      </c>
      <c r="I269" s="9" t="s">
        <v>1064</v>
      </c>
    </row>
    <row r="270" spans="1:9" x14ac:dyDescent="0.3">
      <c r="A270" s="13">
        <v>45485</v>
      </c>
      <c r="B270" s="9" t="s">
        <v>74</v>
      </c>
      <c r="C270" s="9" t="s">
        <v>60</v>
      </c>
      <c r="D270" s="9" t="s">
        <v>75</v>
      </c>
      <c r="E270" s="9" t="s">
        <v>808</v>
      </c>
      <c r="F270" s="9">
        <v>2239</v>
      </c>
      <c r="G270" s="9" t="s">
        <v>810</v>
      </c>
      <c r="H270" s="9">
        <v>157</v>
      </c>
      <c r="I270" s="9" t="s">
        <v>1064</v>
      </c>
    </row>
    <row r="271" spans="1:9" x14ac:dyDescent="0.3">
      <c r="A271" s="13">
        <v>45485</v>
      </c>
      <c r="B271" s="9" t="s">
        <v>76</v>
      </c>
      <c r="C271" s="9" t="s">
        <v>60</v>
      </c>
      <c r="D271" s="9" t="s">
        <v>77</v>
      </c>
      <c r="E271" s="9" t="s">
        <v>808</v>
      </c>
      <c r="F271" s="9">
        <v>2483</v>
      </c>
      <c r="G271" s="9" t="s">
        <v>810</v>
      </c>
      <c r="H271" s="9">
        <v>158</v>
      </c>
      <c r="I271" s="9" t="s">
        <v>1064</v>
      </c>
    </row>
    <row r="272" spans="1:9" x14ac:dyDescent="0.3">
      <c r="A272" s="13">
        <v>45485</v>
      </c>
      <c r="B272" s="9" t="s">
        <v>335</v>
      </c>
      <c r="C272" s="9" t="s">
        <v>331</v>
      </c>
      <c r="D272" s="9" t="s">
        <v>336</v>
      </c>
      <c r="E272" s="9" t="s">
        <v>808</v>
      </c>
      <c r="F272" s="9">
        <v>600</v>
      </c>
      <c r="G272" s="9" t="s">
        <v>810</v>
      </c>
      <c r="H272" s="9">
        <v>159</v>
      </c>
      <c r="I272" s="9" t="s">
        <v>1064</v>
      </c>
    </row>
    <row r="273" spans="1:9" x14ac:dyDescent="0.3">
      <c r="A273" s="13">
        <v>45485</v>
      </c>
      <c r="B273" s="9" t="s">
        <v>291</v>
      </c>
      <c r="C273" s="9" t="s">
        <v>279</v>
      </c>
      <c r="D273" s="9" t="s">
        <v>292</v>
      </c>
      <c r="E273" s="9" t="s">
        <v>808</v>
      </c>
      <c r="F273" s="9">
        <v>2715</v>
      </c>
      <c r="G273" s="9" t="s">
        <v>810</v>
      </c>
      <c r="H273" s="9">
        <v>160</v>
      </c>
      <c r="I273" s="9" t="s">
        <v>1064</v>
      </c>
    </row>
    <row r="274" spans="1:9" x14ac:dyDescent="0.3">
      <c r="A274" s="13">
        <v>45485</v>
      </c>
      <c r="B274" s="9" t="s">
        <v>285</v>
      </c>
      <c r="C274" s="9" t="s">
        <v>279</v>
      </c>
      <c r="D274" s="9" t="s">
        <v>286</v>
      </c>
      <c r="E274" s="9" t="s">
        <v>808</v>
      </c>
      <c r="F274" s="9">
        <v>1312</v>
      </c>
      <c r="G274" s="9" t="s">
        <v>810</v>
      </c>
      <c r="H274" s="9">
        <v>161</v>
      </c>
      <c r="I274" s="9" t="s">
        <v>1064</v>
      </c>
    </row>
    <row r="275" spans="1:9" x14ac:dyDescent="0.3">
      <c r="A275" s="13">
        <v>45485</v>
      </c>
      <c r="B275" s="9" t="s">
        <v>86</v>
      </c>
      <c r="C275" s="9" t="s">
        <v>81</v>
      </c>
      <c r="D275" s="9" t="s">
        <v>1085</v>
      </c>
      <c r="E275" s="9" t="s">
        <v>808</v>
      </c>
      <c r="F275" s="9">
        <v>4118</v>
      </c>
      <c r="G275" s="9" t="s">
        <v>810</v>
      </c>
      <c r="H275" s="9">
        <v>162</v>
      </c>
      <c r="I275" s="9" t="s">
        <v>1064</v>
      </c>
    </row>
    <row r="276" spans="1:9" x14ac:dyDescent="0.3">
      <c r="A276" s="13">
        <v>45485</v>
      </c>
      <c r="B276" s="9" t="s">
        <v>123</v>
      </c>
      <c r="C276" s="9" t="s">
        <v>81</v>
      </c>
      <c r="D276" s="9" t="s">
        <v>1086</v>
      </c>
      <c r="E276" s="9" t="s">
        <v>808</v>
      </c>
      <c r="F276" s="9">
        <v>3585</v>
      </c>
      <c r="G276" s="9" t="s">
        <v>810</v>
      </c>
      <c r="H276" s="9">
        <v>163</v>
      </c>
      <c r="I276" s="9" t="s">
        <v>1064</v>
      </c>
    </row>
    <row r="277" spans="1:9" x14ac:dyDescent="0.3">
      <c r="A277" s="13">
        <v>45485</v>
      </c>
      <c r="B277" s="9" t="s">
        <v>87</v>
      </c>
      <c r="C277" s="9" t="s">
        <v>81</v>
      </c>
      <c r="D277" s="9" t="s">
        <v>1087</v>
      </c>
      <c r="E277" s="9" t="s">
        <v>808</v>
      </c>
      <c r="F277" s="9">
        <v>4723</v>
      </c>
      <c r="G277" s="9" t="s">
        <v>810</v>
      </c>
      <c r="H277" s="9">
        <v>164</v>
      </c>
      <c r="I277" s="9" t="s">
        <v>1064</v>
      </c>
    </row>
    <row r="278" spans="1:9" x14ac:dyDescent="0.3">
      <c r="A278" s="13">
        <v>45485</v>
      </c>
      <c r="B278" s="9" t="s">
        <v>910</v>
      </c>
      <c r="C278" s="9" t="s">
        <v>81</v>
      </c>
      <c r="D278" s="9" t="s">
        <v>1087</v>
      </c>
      <c r="E278" s="9" t="s">
        <v>808</v>
      </c>
      <c r="F278" s="9">
        <v>5000</v>
      </c>
      <c r="G278" s="9" t="s">
        <v>810</v>
      </c>
      <c r="H278" s="9">
        <v>165</v>
      </c>
      <c r="I278" s="9" t="s">
        <v>1064</v>
      </c>
    </row>
    <row r="279" spans="1:9" x14ac:dyDescent="0.3">
      <c r="A279" s="13">
        <v>45485</v>
      </c>
      <c r="B279" s="9" t="s">
        <v>87</v>
      </c>
      <c r="C279" s="9" t="s">
        <v>81</v>
      </c>
      <c r="D279" s="9" t="s">
        <v>1087</v>
      </c>
      <c r="E279" s="9" t="s">
        <v>808</v>
      </c>
      <c r="F279" s="9">
        <v>5000</v>
      </c>
      <c r="G279" s="9" t="s">
        <v>810</v>
      </c>
      <c r="H279" s="9">
        <v>166</v>
      </c>
      <c r="I279" s="9" t="s">
        <v>1064</v>
      </c>
    </row>
    <row r="280" spans="1:9" x14ac:dyDescent="0.3">
      <c r="A280" s="13">
        <v>45485</v>
      </c>
      <c r="B280" s="9" t="s">
        <v>101</v>
      </c>
      <c r="C280" s="9" t="s">
        <v>81</v>
      </c>
      <c r="D280" s="9" t="s">
        <v>823</v>
      </c>
      <c r="E280" s="9" t="s">
        <v>808</v>
      </c>
      <c r="F280" s="9">
        <v>4998</v>
      </c>
      <c r="G280" s="9" t="s">
        <v>810</v>
      </c>
      <c r="H280" s="9">
        <v>167</v>
      </c>
      <c r="I280" s="9" t="s">
        <v>1064</v>
      </c>
    </row>
    <row r="281" spans="1:9" x14ac:dyDescent="0.3">
      <c r="A281" s="13">
        <v>45485</v>
      </c>
      <c r="B281" s="9" t="s">
        <v>114</v>
      </c>
      <c r="C281" s="9" t="s">
        <v>81</v>
      </c>
      <c r="D281" s="9" t="s">
        <v>1088</v>
      </c>
      <c r="E281" s="9" t="s">
        <v>808</v>
      </c>
      <c r="F281" s="9">
        <v>4325</v>
      </c>
      <c r="G281" s="9" t="s">
        <v>810</v>
      </c>
      <c r="H281" s="9">
        <v>168</v>
      </c>
      <c r="I281" s="9" t="s">
        <v>1064</v>
      </c>
    </row>
    <row r="282" spans="1:9" x14ac:dyDescent="0.3">
      <c r="A282" s="13">
        <v>45485</v>
      </c>
      <c r="B282" s="9" t="s">
        <v>80</v>
      </c>
      <c r="C282" s="9" t="s">
        <v>81</v>
      </c>
      <c r="D282" s="9" t="s">
        <v>812</v>
      </c>
      <c r="E282" s="9" t="s">
        <v>808</v>
      </c>
      <c r="F282" s="9">
        <v>1944</v>
      </c>
      <c r="G282" s="9" t="s">
        <v>810</v>
      </c>
      <c r="H282" s="9">
        <v>169</v>
      </c>
      <c r="I282" s="9" t="s">
        <v>1064</v>
      </c>
    </row>
    <row r="283" spans="1:9" x14ac:dyDescent="0.3">
      <c r="A283" s="13">
        <v>45485</v>
      </c>
      <c r="B283" s="9" t="s">
        <v>105</v>
      </c>
      <c r="C283" s="9" t="s">
        <v>81</v>
      </c>
      <c r="D283" s="9" t="s">
        <v>827</v>
      </c>
      <c r="E283" s="9" t="s">
        <v>808</v>
      </c>
      <c r="F283" s="9">
        <v>4090</v>
      </c>
      <c r="G283" s="9" t="s">
        <v>810</v>
      </c>
      <c r="H283" s="9">
        <v>170</v>
      </c>
      <c r="I283" s="9" t="s">
        <v>1064</v>
      </c>
    </row>
    <row r="284" spans="1:9" x14ac:dyDescent="0.3">
      <c r="A284" s="13">
        <v>45485</v>
      </c>
      <c r="B284" s="9" t="s">
        <v>111</v>
      </c>
      <c r="C284" s="9" t="s">
        <v>81</v>
      </c>
      <c r="D284" s="9" t="s">
        <v>1089</v>
      </c>
      <c r="E284" s="9" t="s">
        <v>808</v>
      </c>
      <c r="F284" s="9">
        <v>4688</v>
      </c>
      <c r="G284" s="9" t="s">
        <v>810</v>
      </c>
      <c r="H284" s="9">
        <v>171</v>
      </c>
      <c r="I284" s="9" t="s">
        <v>1064</v>
      </c>
    </row>
    <row r="285" spans="1:9" x14ac:dyDescent="0.3">
      <c r="A285" s="13">
        <v>45485</v>
      </c>
      <c r="B285" s="9" t="s">
        <v>113</v>
      </c>
      <c r="C285" s="9" t="s">
        <v>81</v>
      </c>
      <c r="D285" s="9" t="s">
        <v>1090</v>
      </c>
      <c r="E285" s="9" t="s">
        <v>808</v>
      </c>
      <c r="F285" s="9">
        <v>4314</v>
      </c>
      <c r="G285" s="9" t="s">
        <v>810</v>
      </c>
      <c r="H285" s="9">
        <v>172</v>
      </c>
      <c r="I285" s="9" t="s">
        <v>1064</v>
      </c>
    </row>
    <row r="286" spans="1:9" x14ac:dyDescent="0.3">
      <c r="A286" s="13">
        <v>45485</v>
      </c>
      <c r="B286" s="9" t="s">
        <v>89</v>
      </c>
      <c r="C286" s="9" t="s">
        <v>81</v>
      </c>
      <c r="D286" s="9" t="s">
        <v>1091</v>
      </c>
      <c r="E286" s="9" t="s">
        <v>808</v>
      </c>
      <c r="F286" s="9">
        <v>4011</v>
      </c>
      <c r="G286" s="9" t="s">
        <v>810</v>
      </c>
      <c r="H286" s="9">
        <v>173</v>
      </c>
      <c r="I286" s="9" t="s">
        <v>1064</v>
      </c>
    </row>
    <row r="287" spans="1:9" x14ac:dyDescent="0.3">
      <c r="A287" s="13">
        <v>45485</v>
      </c>
      <c r="B287" s="9" t="s">
        <v>87</v>
      </c>
      <c r="C287" s="9" t="s">
        <v>81</v>
      </c>
      <c r="D287" s="9" t="s">
        <v>1087</v>
      </c>
      <c r="E287" s="9" t="s">
        <v>808</v>
      </c>
      <c r="F287" s="9">
        <v>362</v>
      </c>
      <c r="G287" s="9" t="s">
        <v>810</v>
      </c>
      <c r="H287" s="9">
        <v>174</v>
      </c>
      <c r="I287" s="9" t="s">
        <v>1064</v>
      </c>
    </row>
    <row r="288" spans="1:9" x14ac:dyDescent="0.3">
      <c r="A288" s="13">
        <v>45485</v>
      </c>
      <c r="B288" s="9" t="s">
        <v>96</v>
      </c>
      <c r="C288" s="9" t="s">
        <v>81</v>
      </c>
      <c r="D288" s="9" t="s">
        <v>1092</v>
      </c>
      <c r="E288" s="9" t="s">
        <v>808</v>
      </c>
      <c r="F288" s="9">
        <v>2867</v>
      </c>
      <c r="G288" s="9" t="s">
        <v>810</v>
      </c>
      <c r="H288" s="9">
        <v>175</v>
      </c>
      <c r="I288" s="9" t="s">
        <v>1064</v>
      </c>
    </row>
    <row r="289" spans="1:9" x14ac:dyDescent="0.3">
      <c r="A289" s="13">
        <v>45485</v>
      </c>
      <c r="B289" s="9" t="s">
        <v>363</v>
      </c>
      <c r="C289" s="9" t="s">
        <v>351</v>
      </c>
      <c r="D289" s="9" t="s">
        <v>1095</v>
      </c>
      <c r="E289" s="9" t="s">
        <v>808</v>
      </c>
      <c r="F289" s="9">
        <v>2400</v>
      </c>
      <c r="G289" s="9" t="s">
        <v>810</v>
      </c>
      <c r="H289" s="9">
        <v>176</v>
      </c>
      <c r="I289" s="9" t="s">
        <v>1093</v>
      </c>
    </row>
    <row r="290" spans="1:9" x14ac:dyDescent="0.3">
      <c r="A290" s="13">
        <v>45485</v>
      </c>
      <c r="B290" s="9" t="s">
        <v>982</v>
      </c>
      <c r="C290" s="9" t="s">
        <v>1003</v>
      </c>
      <c r="D290" s="9" t="s">
        <v>1004</v>
      </c>
      <c r="E290" s="9" t="s">
        <v>808</v>
      </c>
      <c r="F290" s="9">
        <v>967</v>
      </c>
      <c r="G290" s="9" t="s">
        <v>810</v>
      </c>
      <c r="H290" s="9">
        <v>177</v>
      </c>
      <c r="I290" s="9" t="s">
        <v>1093</v>
      </c>
    </row>
    <row r="291" spans="1:9" x14ac:dyDescent="0.3">
      <c r="A291" s="13">
        <v>45485</v>
      </c>
      <c r="B291" s="9" t="s">
        <v>474</v>
      </c>
      <c r="C291" s="9" t="s">
        <v>1003</v>
      </c>
      <c r="D291" s="9" t="s">
        <v>1004</v>
      </c>
      <c r="E291" s="9" t="s">
        <v>808</v>
      </c>
      <c r="F291" s="9">
        <v>112</v>
      </c>
      <c r="G291" s="9" t="s">
        <v>810</v>
      </c>
      <c r="H291" s="9">
        <v>178</v>
      </c>
      <c r="I291" s="9" t="s">
        <v>1093</v>
      </c>
    </row>
    <row r="292" spans="1:9" x14ac:dyDescent="0.3">
      <c r="A292" s="13">
        <v>45485</v>
      </c>
      <c r="B292" s="9" t="s">
        <v>486</v>
      </c>
      <c r="C292" s="9" t="s">
        <v>1006</v>
      </c>
      <c r="D292" s="9" t="s">
        <v>1096</v>
      </c>
      <c r="E292" s="9" t="s">
        <v>808</v>
      </c>
      <c r="F292" s="9">
        <v>1645</v>
      </c>
      <c r="G292" s="9" t="s">
        <v>810</v>
      </c>
      <c r="H292" s="9">
        <v>179</v>
      </c>
      <c r="I292" s="9" t="s">
        <v>1093</v>
      </c>
    </row>
    <row r="293" spans="1:9" x14ac:dyDescent="0.3">
      <c r="A293" s="13">
        <v>45485</v>
      </c>
      <c r="B293" s="9" t="s">
        <v>196</v>
      </c>
      <c r="C293" s="9" t="s">
        <v>197</v>
      </c>
      <c r="D293" s="9" t="s">
        <v>1097</v>
      </c>
      <c r="E293" s="9" t="s">
        <v>808</v>
      </c>
      <c r="F293" s="9">
        <v>1771</v>
      </c>
      <c r="G293" s="9" t="s">
        <v>810</v>
      </c>
      <c r="H293" s="9">
        <v>180</v>
      </c>
      <c r="I293" s="9" t="s">
        <v>1093</v>
      </c>
    </row>
    <row r="294" spans="1:9" x14ac:dyDescent="0.3">
      <c r="A294" s="13">
        <v>45485</v>
      </c>
      <c r="B294" s="9" t="s">
        <v>314</v>
      </c>
      <c r="C294" s="9" t="s">
        <v>310</v>
      </c>
      <c r="D294" s="9" t="s">
        <v>315</v>
      </c>
      <c r="E294" s="9" t="s">
        <v>808</v>
      </c>
      <c r="F294" s="9">
        <v>2531</v>
      </c>
      <c r="G294" s="9" t="s">
        <v>810</v>
      </c>
      <c r="H294" s="9">
        <v>181</v>
      </c>
      <c r="I294" s="9" t="s">
        <v>1093</v>
      </c>
    </row>
    <row r="295" spans="1:9" x14ac:dyDescent="0.3">
      <c r="A295" s="13">
        <v>45485</v>
      </c>
      <c r="B295" s="9" t="s">
        <v>1098</v>
      </c>
      <c r="C295" s="9" t="s">
        <v>0</v>
      </c>
      <c r="D295" s="9" t="s">
        <v>1099</v>
      </c>
      <c r="E295" s="9" t="s">
        <v>808</v>
      </c>
      <c r="F295" s="9">
        <v>1000</v>
      </c>
      <c r="G295" s="9" t="s">
        <v>810</v>
      </c>
      <c r="H295" s="9">
        <v>182</v>
      </c>
      <c r="I295" s="9" t="s">
        <v>1064</v>
      </c>
    </row>
    <row r="296" spans="1:9" x14ac:dyDescent="0.3">
      <c r="A296" s="13">
        <v>45485</v>
      </c>
      <c r="B296" s="9" t="s">
        <v>55</v>
      </c>
      <c r="C296" s="9" t="s">
        <v>53</v>
      </c>
      <c r="D296" s="9" t="s">
        <v>56</v>
      </c>
      <c r="E296" s="9" t="s">
        <v>808</v>
      </c>
      <c r="F296" s="9">
        <v>161</v>
      </c>
      <c r="G296" s="9" t="s">
        <v>810</v>
      </c>
      <c r="H296" s="9">
        <v>2059</v>
      </c>
      <c r="I296" s="9" t="s">
        <v>1101</v>
      </c>
    </row>
    <row r="297" spans="1:9" x14ac:dyDescent="0.3">
      <c r="A297" s="13">
        <v>45485</v>
      </c>
      <c r="B297" s="9" t="s">
        <v>334</v>
      </c>
      <c r="C297" s="9" t="s">
        <v>331</v>
      </c>
      <c r="D297" s="9" t="s">
        <v>1102</v>
      </c>
      <c r="E297" s="9" t="s">
        <v>808</v>
      </c>
      <c r="F297" s="9">
        <v>135</v>
      </c>
      <c r="G297" s="9" t="s">
        <v>810</v>
      </c>
      <c r="H297" s="9">
        <v>184</v>
      </c>
      <c r="I297" s="9" t="s">
        <v>1093</v>
      </c>
    </row>
    <row r="298" spans="1:9" x14ac:dyDescent="0.3">
      <c r="A298" s="13">
        <v>45485</v>
      </c>
      <c r="B298" s="9" t="s">
        <v>485</v>
      </c>
      <c r="C298" s="9" t="s">
        <v>1006</v>
      </c>
      <c r="D298" s="9" t="s">
        <v>1103</v>
      </c>
      <c r="E298" s="9" t="s">
        <v>808</v>
      </c>
      <c r="F298" s="9">
        <v>856</v>
      </c>
      <c r="G298" s="9" t="s">
        <v>810</v>
      </c>
      <c r="H298" s="9">
        <v>185</v>
      </c>
      <c r="I298" s="9" t="s">
        <v>1093</v>
      </c>
    </row>
    <row r="299" spans="1:9" x14ac:dyDescent="0.3">
      <c r="A299" s="13">
        <v>45485</v>
      </c>
      <c r="B299" s="9" t="s">
        <v>270</v>
      </c>
      <c r="C299" s="9" t="s">
        <v>266</v>
      </c>
      <c r="D299" s="9" t="s">
        <v>271</v>
      </c>
      <c r="E299" s="9" t="s">
        <v>808</v>
      </c>
      <c r="F299" s="9">
        <v>842</v>
      </c>
      <c r="G299" s="9" t="s">
        <v>810</v>
      </c>
      <c r="H299" s="9">
        <v>186</v>
      </c>
      <c r="I299" s="9" t="s">
        <v>1093</v>
      </c>
    </row>
    <row r="300" spans="1:9" x14ac:dyDescent="0.3">
      <c r="A300" s="13">
        <v>45485</v>
      </c>
      <c r="B300" s="9" t="s">
        <v>2</v>
      </c>
      <c r="C300" s="9" t="s">
        <v>0</v>
      </c>
      <c r="D300" s="9" t="s">
        <v>3</v>
      </c>
      <c r="E300" s="9" t="s">
        <v>808</v>
      </c>
      <c r="F300" s="9">
        <v>1316</v>
      </c>
      <c r="G300" s="9" t="s">
        <v>810</v>
      </c>
      <c r="H300" s="9">
        <v>187</v>
      </c>
      <c r="I300" s="9" t="s">
        <v>1093</v>
      </c>
    </row>
    <row r="301" spans="1:9" x14ac:dyDescent="0.3">
      <c r="A301" s="13">
        <v>45485</v>
      </c>
      <c r="B301" s="9" t="s">
        <v>334</v>
      </c>
      <c r="C301" s="9" t="s">
        <v>331</v>
      </c>
      <c r="D301" s="9" t="s">
        <v>1102</v>
      </c>
      <c r="E301" s="9" t="s">
        <v>808</v>
      </c>
      <c r="F301" s="9">
        <v>113</v>
      </c>
      <c r="G301" s="9" t="s">
        <v>810</v>
      </c>
      <c r="H301" s="9">
        <v>188</v>
      </c>
      <c r="I301" s="9" t="s">
        <v>1093</v>
      </c>
    </row>
    <row r="302" spans="1:9" x14ac:dyDescent="0.3">
      <c r="A302" s="13">
        <v>45485</v>
      </c>
      <c r="B302" s="9" t="s">
        <v>70</v>
      </c>
      <c r="C302" s="9" t="s">
        <v>60</v>
      </c>
      <c r="D302" s="9" t="s">
        <v>71</v>
      </c>
      <c r="E302" s="9" t="s">
        <v>808</v>
      </c>
      <c r="F302" s="9">
        <v>454</v>
      </c>
      <c r="G302" s="9" t="s">
        <v>810</v>
      </c>
      <c r="H302" s="9">
        <v>189</v>
      </c>
      <c r="I302" s="9" t="s">
        <v>1093</v>
      </c>
    </row>
    <row r="303" spans="1:9" x14ac:dyDescent="0.3">
      <c r="A303" s="13">
        <v>45485</v>
      </c>
      <c r="B303" s="9" t="s">
        <v>6</v>
      </c>
      <c r="C303" s="9" t="s">
        <v>7</v>
      </c>
      <c r="D303" s="9" t="s">
        <v>8</v>
      </c>
      <c r="E303" s="9" t="s">
        <v>808</v>
      </c>
      <c r="F303" s="9">
        <v>364</v>
      </c>
      <c r="G303" s="9" t="s">
        <v>810</v>
      </c>
      <c r="H303" s="9">
        <v>190</v>
      </c>
      <c r="I303" s="9" t="s">
        <v>1093</v>
      </c>
    </row>
    <row r="304" spans="1:9" x14ac:dyDescent="0.3">
      <c r="A304" s="13">
        <v>45485</v>
      </c>
      <c r="B304" s="9" t="s">
        <v>9</v>
      </c>
      <c r="C304" s="9" t="s">
        <v>7</v>
      </c>
      <c r="D304" s="9" t="s">
        <v>10</v>
      </c>
      <c r="E304" s="9" t="s">
        <v>808</v>
      </c>
      <c r="F304" s="9">
        <v>72</v>
      </c>
      <c r="G304" s="9" t="s">
        <v>810</v>
      </c>
      <c r="H304" s="9">
        <v>191</v>
      </c>
      <c r="I304" s="9" t="s">
        <v>1093</v>
      </c>
    </row>
    <row r="305" spans="1:9" x14ac:dyDescent="0.3">
      <c r="A305" s="13">
        <v>45485</v>
      </c>
      <c r="B305" s="9" t="s">
        <v>397</v>
      </c>
      <c r="C305" s="9" t="s">
        <v>398</v>
      </c>
      <c r="D305" s="9" t="s">
        <v>1104</v>
      </c>
      <c r="E305" s="9" t="s">
        <v>808</v>
      </c>
      <c r="F305" s="9">
        <v>9</v>
      </c>
      <c r="G305" s="9" t="s">
        <v>810</v>
      </c>
      <c r="H305" s="9">
        <v>192</v>
      </c>
      <c r="I305" s="9" t="s">
        <v>1093</v>
      </c>
    </row>
    <row r="306" spans="1:9" x14ac:dyDescent="0.3">
      <c r="A306" s="13">
        <v>45485</v>
      </c>
      <c r="B306" s="9" t="s">
        <v>480</v>
      </c>
      <c r="C306" s="9" t="s">
        <v>1003</v>
      </c>
      <c r="D306" s="9" t="s">
        <v>481</v>
      </c>
      <c r="E306" s="9" t="s">
        <v>808</v>
      </c>
      <c r="F306" s="9">
        <v>1021</v>
      </c>
      <c r="G306" s="9" t="s">
        <v>810</v>
      </c>
      <c r="H306" s="9">
        <v>193</v>
      </c>
      <c r="I306" s="9" t="s">
        <v>1093</v>
      </c>
    </row>
    <row r="307" spans="1:9" x14ac:dyDescent="0.3">
      <c r="A307" s="13">
        <v>45485</v>
      </c>
      <c r="B307" s="9" t="s">
        <v>4</v>
      </c>
      <c r="C307" s="9" t="s">
        <v>0</v>
      </c>
      <c r="D307" s="9" t="s">
        <v>5</v>
      </c>
      <c r="E307" s="9" t="s">
        <v>808</v>
      </c>
      <c r="F307" s="9">
        <v>112</v>
      </c>
      <c r="G307" s="9" t="s">
        <v>810</v>
      </c>
      <c r="H307" s="9">
        <v>194</v>
      </c>
      <c r="I307" s="9" t="s">
        <v>1093</v>
      </c>
    </row>
    <row r="308" spans="1:9" x14ac:dyDescent="0.3">
      <c r="A308" s="13">
        <v>45485</v>
      </c>
      <c r="B308" s="9" t="s">
        <v>956</v>
      </c>
      <c r="C308" s="9" t="s">
        <v>1006</v>
      </c>
      <c r="D308" s="9" t="s">
        <v>1007</v>
      </c>
      <c r="E308" s="9" t="s">
        <v>808</v>
      </c>
      <c r="F308" s="9">
        <v>184</v>
      </c>
      <c r="G308" s="9" t="s">
        <v>810</v>
      </c>
      <c r="H308" s="9">
        <v>195</v>
      </c>
      <c r="I308" s="9" t="s">
        <v>1093</v>
      </c>
    </row>
    <row r="309" spans="1:9" x14ac:dyDescent="0.3">
      <c r="A309" s="13">
        <v>45485</v>
      </c>
      <c r="B309" s="9" t="s">
        <v>487</v>
      </c>
      <c r="C309" s="9" t="s">
        <v>1006</v>
      </c>
      <c r="D309" s="9" t="s">
        <v>1007</v>
      </c>
      <c r="E309" s="9" t="s">
        <v>808</v>
      </c>
      <c r="F309" s="9">
        <v>517</v>
      </c>
      <c r="G309" s="9" t="s">
        <v>810</v>
      </c>
      <c r="H309" s="9">
        <v>196</v>
      </c>
      <c r="I309" s="9" t="s">
        <v>1093</v>
      </c>
    </row>
    <row r="310" spans="1:9" x14ac:dyDescent="0.3">
      <c r="A310" s="13">
        <v>45485</v>
      </c>
      <c r="B310" s="9" t="s">
        <v>458</v>
      </c>
      <c r="C310" s="9" t="s">
        <v>459</v>
      </c>
      <c r="D310" s="9" t="s">
        <v>460</v>
      </c>
      <c r="E310" s="9" t="s">
        <v>808</v>
      </c>
      <c r="F310" s="9">
        <v>800</v>
      </c>
      <c r="G310" s="9" t="s">
        <v>810</v>
      </c>
      <c r="H310" s="9">
        <v>2060</v>
      </c>
      <c r="I310" s="9" t="s">
        <v>1101</v>
      </c>
    </row>
    <row r="311" spans="1:9" x14ac:dyDescent="0.3">
      <c r="A311" s="13">
        <v>45491</v>
      </c>
      <c r="B311" s="9" t="s">
        <v>1119</v>
      </c>
      <c r="C311" s="9" t="s">
        <v>345</v>
      </c>
      <c r="D311" s="9" t="s">
        <v>1127</v>
      </c>
      <c r="E311" s="9" t="s">
        <v>808</v>
      </c>
      <c r="F311" s="9">
        <v>2400</v>
      </c>
      <c r="G311" s="9" t="s">
        <v>810</v>
      </c>
      <c r="H311" s="9">
        <v>2061</v>
      </c>
      <c r="I311" s="9" t="s">
        <v>1101</v>
      </c>
    </row>
    <row r="312" spans="1:9" x14ac:dyDescent="0.3">
      <c r="A312" s="13">
        <v>45491</v>
      </c>
      <c r="B312" s="9" t="s">
        <v>1137</v>
      </c>
      <c r="C312" s="9" t="s">
        <v>345</v>
      </c>
      <c r="D312" s="9" t="s">
        <v>1128</v>
      </c>
      <c r="E312" s="9" t="s">
        <v>808</v>
      </c>
      <c r="F312" s="9">
        <v>400</v>
      </c>
      <c r="G312" s="9" t="s">
        <v>810</v>
      </c>
      <c r="H312" s="9">
        <v>2062</v>
      </c>
      <c r="I312" s="9" t="s">
        <v>1101</v>
      </c>
    </row>
    <row r="313" spans="1:9" x14ac:dyDescent="0.3">
      <c r="A313" s="13">
        <v>45492</v>
      </c>
      <c r="B313" s="9" t="s">
        <v>487</v>
      </c>
      <c r="C313" s="9" t="s">
        <v>1006</v>
      </c>
      <c r="D313" s="9" t="s">
        <v>1007</v>
      </c>
      <c r="E313" s="9" t="s">
        <v>808</v>
      </c>
      <c r="F313" s="9">
        <v>222</v>
      </c>
      <c r="G313" s="9" t="s">
        <v>810</v>
      </c>
      <c r="H313" s="9"/>
      <c r="I313" s="9" t="s">
        <v>1093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4ECA9-0B1E-4770-A536-3A1D929EA6AA}">
  <sheetPr codeName="工作表2"/>
  <dimension ref="A1:I395"/>
  <sheetViews>
    <sheetView zoomScale="85" zoomScaleNormal="85" workbookViewId="0">
      <pane ySplit="1" topLeftCell="A366" activePane="bottomLeft" state="frozen"/>
      <selection activeCell="E15" sqref="E15"/>
      <selection pane="bottomLeft" activeCell="A395" sqref="A395:I395"/>
    </sheetView>
  </sheetViews>
  <sheetFormatPr defaultRowHeight="14.5" x14ac:dyDescent="0.3"/>
  <cols>
    <col min="1" max="1" width="12.3984375" style="12" bestFit="1" customWidth="1"/>
    <col min="2" max="2" width="32.59765625" style="12" bestFit="1" customWidth="1"/>
    <col min="3" max="3" width="116.796875" style="12" bestFit="1" customWidth="1"/>
    <col min="4" max="4" width="15.796875" style="9" customWidth="1"/>
    <col min="5" max="5" width="20.19921875" style="12" customWidth="1"/>
    <col min="6" max="7" width="8.796875" style="12"/>
    <col min="8" max="8" width="10.8984375" style="12" bestFit="1" customWidth="1"/>
    <col min="9" max="9" width="15.19921875" style="12" bestFit="1" customWidth="1"/>
    <col min="10" max="16384" width="8.796875" style="12"/>
  </cols>
  <sheetData>
    <row r="1" spans="1:9" ht="21.5" x14ac:dyDescent="0.3">
      <c r="A1" s="30" t="s">
        <v>1023</v>
      </c>
      <c r="B1" s="4" t="s">
        <v>530</v>
      </c>
      <c r="C1" s="4" t="s">
        <v>531</v>
      </c>
      <c r="D1" s="26" t="s">
        <v>1037</v>
      </c>
      <c r="E1" s="27" t="s">
        <v>1038</v>
      </c>
      <c r="F1" s="21" t="s">
        <v>1021</v>
      </c>
      <c r="G1" s="21" t="s">
        <v>1039</v>
      </c>
      <c r="H1" s="4" t="s">
        <v>1129</v>
      </c>
      <c r="I1" s="4" t="s">
        <v>1130</v>
      </c>
    </row>
    <row r="2" spans="1:9" ht="15.5" x14ac:dyDescent="0.3">
      <c r="A2" s="3" t="s">
        <v>802</v>
      </c>
      <c r="B2" s="2" t="s">
        <v>0</v>
      </c>
      <c r="C2" s="2" t="s">
        <v>1</v>
      </c>
      <c r="D2" s="24">
        <f>SUMIFS(出入庫!F:F,出入庫!E:E,"入庫",出入庫!B:B,表格2[[#This Row],[料號]])-SUMIFS(出入庫!F:F,出入庫!E:E,"出庫",出入庫!B:B,表格2[[#This Row],[料號]])</f>
        <v>0</v>
      </c>
      <c r="E2" s="24"/>
      <c r="F2" s="65"/>
      <c r="G2" s="65"/>
      <c r="H2" s="65"/>
      <c r="I2" s="65"/>
    </row>
    <row r="3" spans="1:9" ht="15.5" x14ac:dyDescent="0.3">
      <c r="A3" s="3" t="s">
        <v>2</v>
      </c>
      <c r="B3" s="2" t="s">
        <v>0</v>
      </c>
      <c r="C3" s="2" t="s">
        <v>3</v>
      </c>
      <c r="D3" s="24">
        <f>SUMIFS(出入庫!F:F,出入庫!E:E,"入庫",出入庫!B:B,表格2[[#This Row],[料號]])-SUMIFS(出入庫!F:F,出入庫!E:E,"出庫",出入庫!B:B,表格2[[#This Row],[料號]])</f>
        <v>1316</v>
      </c>
      <c r="E3" s="24"/>
      <c r="F3" s="65" t="s">
        <v>1132</v>
      </c>
      <c r="G3" s="65"/>
      <c r="H3" s="65"/>
      <c r="I3" s="65"/>
    </row>
    <row r="4" spans="1:9" ht="15.5" x14ac:dyDescent="0.3">
      <c r="A4" s="3" t="s">
        <v>4</v>
      </c>
      <c r="B4" s="2" t="s">
        <v>0</v>
      </c>
      <c r="C4" s="2" t="s">
        <v>5</v>
      </c>
      <c r="D4" s="24">
        <f>SUMIFS(出入庫!F:F,出入庫!E:E,"入庫",出入庫!B:B,表格2[[#This Row],[料號]])-SUMIFS(出入庫!F:F,出入庫!E:E,"出庫",出入庫!B:B,表格2[[#This Row],[料號]])</f>
        <v>112</v>
      </c>
      <c r="E4" s="24"/>
      <c r="F4" s="65" t="s">
        <v>1132</v>
      </c>
      <c r="G4" s="65"/>
      <c r="H4" s="65"/>
      <c r="I4" s="65"/>
    </row>
    <row r="5" spans="1:9" ht="15.5" x14ac:dyDescent="0.3">
      <c r="A5" s="3" t="s">
        <v>1100</v>
      </c>
      <c r="B5" s="2" t="s">
        <v>0</v>
      </c>
      <c r="C5" s="28" t="s">
        <v>1099</v>
      </c>
      <c r="D5" s="29">
        <f>SUMIFS(出入庫!F:F,出入庫!E:E,"入庫",出入庫!B:B,表格2[[#This Row],[料號]])-SUMIFS(出入庫!F:F,出入庫!E:E,"出庫",出入庫!B:B,表格2[[#This Row],[料號]])</f>
        <v>1000</v>
      </c>
      <c r="E5" s="66"/>
      <c r="F5" s="65" t="s">
        <v>1133</v>
      </c>
      <c r="G5" s="65"/>
      <c r="H5" s="65"/>
      <c r="I5" s="65"/>
    </row>
    <row r="6" spans="1:9" ht="15.5" x14ac:dyDescent="0.3">
      <c r="A6" s="3" t="s">
        <v>6</v>
      </c>
      <c r="B6" s="2" t="s">
        <v>7</v>
      </c>
      <c r="C6" s="2" t="s">
        <v>8</v>
      </c>
      <c r="D6" s="24">
        <f>SUMIFS(出入庫!F:F,出入庫!E:E,"入庫",出入庫!B:B,表格2[[#This Row],[料號]])-SUMIFS(出入庫!F:F,出入庫!E:E,"出庫",出入庫!B:B,表格2[[#This Row],[料號]])</f>
        <v>364</v>
      </c>
      <c r="E6" s="24"/>
      <c r="F6" s="65" t="s">
        <v>1132</v>
      </c>
      <c r="G6" s="65"/>
      <c r="H6" s="65"/>
      <c r="I6" s="65"/>
    </row>
    <row r="7" spans="1:9" ht="15.5" x14ac:dyDescent="0.3">
      <c r="A7" s="3" t="s">
        <v>9</v>
      </c>
      <c r="B7" s="2" t="s">
        <v>7</v>
      </c>
      <c r="C7" s="2" t="s">
        <v>10</v>
      </c>
      <c r="D7" s="24">
        <f>SUMIFS(出入庫!F:F,出入庫!E:E,"入庫",出入庫!B:B,表格2[[#This Row],[料號]])-SUMIFS(出入庫!F:F,出入庫!E:E,"出庫",出入庫!B:B,表格2[[#This Row],[料號]])</f>
        <v>569</v>
      </c>
      <c r="E7" s="24"/>
      <c r="F7" s="65" t="s">
        <v>1132</v>
      </c>
      <c r="G7" s="65"/>
      <c r="H7" s="65"/>
      <c r="I7" s="65"/>
    </row>
    <row r="8" spans="1:9" ht="15.5" x14ac:dyDescent="0.3">
      <c r="A8" s="3" t="s">
        <v>976</v>
      </c>
      <c r="B8" s="2" t="s">
        <v>7</v>
      </c>
      <c r="C8" s="2" t="s">
        <v>12</v>
      </c>
      <c r="D8" s="24">
        <f>SUMIFS(出入庫!F:F,出入庫!E:E,"入庫",出入庫!B:B,表格2[[#This Row],[料號]])-SUMIFS(出入庫!F:F,出入庫!E:E,"出庫",出入庫!B:B,表格2[[#This Row],[料號]])</f>
        <v>213</v>
      </c>
      <c r="E8" s="24"/>
      <c r="F8" s="65" t="s">
        <v>1133</v>
      </c>
      <c r="G8" s="65"/>
      <c r="H8" s="65"/>
      <c r="I8" s="65"/>
    </row>
    <row r="9" spans="1:9" ht="15.5" x14ac:dyDescent="0.3">
      <c r="A9" s="3" t="s">
        <v>13</v>
      </c>
      <c r="B9" s="2" t="s">
        <v>7</v>
      </c>
      <c r="C9" s="2" t="s">
        <v>14</v>
      </c>
      <c r="D9" s="24">
        <f>SUMIFS(出入庫!F:F,出入庫!E:E,"入庫",出入庫!B:B,表格2[[#This Row],[料號]])-SUMIFS(出入庫!F:F,出入庫!E:E,"出庫",出入庫!B:B,表格2[[#This Row],[料號]])</f>
        <v>0</v>
      </c>
      <c r="E9" s="24"/>
      <c r="F9" s="65"/>
      <c r="G9" s="65"/>
      <c r="H9" s="65"/>
      <c r="I9" s="65"/>
    </row>
    <row r="10" spans="1:9" ht="15.5" x14ac:dyDescent="0.3">
      <c r="A10" s="3" t="s">
        <v>15</v>
      </c>
      <c r="B10" s="2" t="s">
        <v>7</v>
      </c>
      <c r="C10" s="2" t="s">
        <v>16</v>
      </c>
      <c r="D10" s="24">
        <f>SUMIFS(出入庫!F:F,出入庫!E:E,"入庫",出入庫!B:B,表格2[[#This Row],[料號]])-SUMIFS(出入庫!F:F,出入庫!E:E,"出庫",出入庫!B:B,表格2[[#This Row],[料號]])</f>
        <v>0</v>
      </c>
      <c r="E10" s="24"/>
      <c r="F10" s="65"/>
      <c r="G10" s="65"/>
      <c r="H10" s="65"/>
      <c r="I10" s="65"/>
    </row>
    <row r="11" spans="1:9" ht="15.5" x14ac:dyDescent="0.3">
      <c r="A11" s="3" t="s">
        <v>1106</v>
      </c>
      <c r="B11" s="2" t="s">
        <v>1107</v>
      </c>
      <c r="C11" s="28" t="s">
        <v>1108</v>
      </c>
      <c r="D11" s="29">
        <f>SUMIFS(出入庫!F:F,出入庫!E:E,"入庫",出入庫!B:B,表格2[[#This Row],[料號]])-SUMIFS(出入庫!F:F,出入庫!E:E,"出庫",出入庫!B:B,表格2[[#This Row],[料號]])</f>
        <v>0</v>
      </c>
      <c r="E11" s="66"/>
      <c r="F11" s="65"/>
      <c r="G11" s="65"/>
      <c r="H11" s="65"/>
      <c r="I11" s="65"/>
    </row>
    <row r="12" spans="1:9" ht="17" x14ac:dyDescent="0.3">
      <c r="A12" s="3" t="s">
        <v>17</v>
      </c>
      <c r="B12" s="2" t="s">
        <v>18</v>
      </c>
      <c r="C12" s="2" t="s">
        <v>1188</v>
      </c>
      <c r="D12" s="24">
        <f>SUMIFS(出入庫!F:F,出入庫!E:E,"入庫",出入庫!B:B,表格2[[#This Row],[料號]])-SUMIFS(出入庫!F:F,出入庫!E:E,"出庫",出入庫!B:B,表格2[[#This Row],[料號]])</f>
        <v>0</v>
      </c>
      <c r="E12" s="24"/>
      <c r="F12" s="65"/>
      <c r="G12" s="65"/>
      <c r="H12" s="67" t="s">
        <v>1189</v>
      </c>
      <c r="I12" s="65"/>
    </row>
    <row r="13" spans="1:9" ht="15.5" x14ac:dyDescent="0.3">
      <c r="A13" s="3" t="s">
        <v>19</v>
      </c>
      <c r="B13" s="2" t="s">
        <v>18</v>
      </c>
      <c r="C13" s="2" t="s">
        <v>20</v>
      </c>
      <c r="D13" s="24">
        <f>SUMIFS(出入庫!F:F,出入庫!E:E,"入庫",出入庫!B:B,表格2[[#This Row],[料號]])-SUMIFS(出入庫!F:F,出入庫!E:E,"出庫",出入庫!B:B,表格2[[#This Row],[料號]])</f>
        <v>0</v>
      </c>
      <c r="E13" s="24"/>
      <c r="F13" s="65"/>
      <c r="G13" s="65"/>
      <c r="H13" s="67" t="s">
        <v>1189</v>
      </c>
      <c r="I13" s="65"/>
    </row>
    <row r="14" spans="1:9" ht="15.5" x14ac:dyDescent="0.3">
      <c r="A14" s="3" t="s">
        <v>1109</v>
      </c>
      <c r="B14" s="2" t="s">
        <v>18</v>
      </c>
      <c r="C14" s="28" t="s">
        <v>1110</v>
      </c>
      <c r="D14" s="29">
        <f>SUMIFS(出入庫!F:F,出入庫!E:E,"入庫",出入庫!B:B,表格2[[#This Row],[料號]])-SUMIFS(出入庫!F:F,出入庫!E:E,"出庫",出入庫!B:B,表格2[[#This Row],[料號]])</f>
        <v>0</v>
      </c>
      <c r="E14" s="66"/>
      <c r="F14" s="65"/>
      <c r="G14" s="65"/>
      <c r="H14" s="67" t="s">
        <v>1189</v>
      </c>
      <c r="I14" s="65"/>
    </row>
    <row r="15" spans="1:9" ht="17" x14ac:dyDescent="0.3">
      <c r="A15" s="3" t="s">
        <v>21</v>
      </c>
      <c r="B15" s="2" t="s">
        <v>22</v>
      </c>
      <c r="C15" s="2" t="s">
        <v>532</v>
      </c>
      <c r="D15" s="24">
        <f>SUMIFS(出入庫!F:F,出入庫!E:E,"入庫",出入庫!B:B,表格2[[#This Row],[料號]])-SUMIFS(出入庫!F:F,出入庫!E:E,"出庫",出入庫!B:B,表格2[[#This Row],[料號]])</f>
        <v>0</v>
      </c>
      <c r="E15" s="24"/>
      <c r="F15" s="65"/>
      <c r="G15" s="65"/>
      <c r="H15" s="65"/>
      <c r="I15" s="65"/>
    </row>
    <row r="16" spans="1:9" ht="15.5" x14ac:dyDescent="0.3">
      <c r="A16" s="3" t="s">
        <v>23</v>
      </c>
      <c r="B16" s="2" t="s">
        <v>22</v>
      </c>
      <c r="C16" s="2" t="s">
        <v>1190</v>
      </c>
      <c r="D16" s="24">
        <f>SUMIFS(出入庫!F:F,出入庫!E:E,"入庫",出入庫!B:B,表格2[[#This Row],[料號]])-SUMIFS(出入庫!F:F,出入庫!E:E,"出庫",出入庫!B:B,表格2[[#This Row],[料號]])</f>
        <v>0</v>
      </c>
      <c r="E16" s="24"/>
      <c r="F16" s="65"/>
      <c r="G16" s="65"/>
      <c r="H16" s="65" t="s">
        <v>1180</v>
      </c>
      <c r="I16" s="65"/>
    </row>
    <row r="17" spans="1:9" ht="15.5" x14ac:dyDescent="0.3">
      <c r="A17" s="3" t="s">
        <v>24</v>
      </c>
      <c r="B17" s="2" t="s">
        <v>25</v>
      </c>
      <c r="C17" s="2" t="s">
        <v>26</v>
      </c>
      <c r="D17" s="24">
        <f>SUMIFS(出入庫!F:F,出入庫!E:E,"入庫",出入庫!B:B,表格2[[#This Row],[料號]])-SUMIFS(出入庫!F:F,出入庫!E:E,"出庫",出入庫!B:B,表格2[[#This Row],[料號]])</f>
        <v>0</v>
      </c>
      <c r="E17" s="24"/>
      <c r="F17" s="65"/>
      <c r="G17" s="65"/>
      <c r="H17" s="65"/>
      <c r="I17" s="65"/>
    </row>
    <row r="18" spans="1:9" ht="15.5" x14ac:dyDescent="0.3">
      <c r="A18" s="3" t="s">
        <v>27</v>
      </c>
      <c r="B18" s="2" t="s">
        <v>25</v>
      </c>
      <c r="C18" s="2" t="s">
        <v>28</v>
      </c>
      <c r="D18" s="24">
        <f>SUMIFS(出入庫!F:F,出入庫!E:E,"入庫",出入庫!B:B,表格2[[#This Row],[料號]])-SUMIFS(出入庫!F:F,出入庫!E:E,"出庫",出入庫!B:B,表格2[[#This Row],[料號]])</f>
        <v>0</v>
      </c>
      <c r="E18" s="24"/>
      <c r="F18" s="65"/>
      <c r="G18" s="65"/>
      <c r="H18" s="65"/>
      <c r="I18" s="65"/>
    </row>
    <row r="19" spans="1:9" ht="17" x14ac:dyDescent="0.3">
      <c r="A19" s="3" t="s">
        <v>29</v>
      </c>
      <c r="B19" s="2" t="s">
        <v>25</v>
      </c>
      <c r="C19" s="2" t="s">
        <v>533</v>
      </c>
      <c r="D19" s="24">
        <f>SUMIFS(出入庫!F:F,出入庫!E:E,"入庫",出入庫!B:B,表格2[[#This Row],[料號]])-SUMIFS(出入庫!F:F,出入庫!E:E,"出庫",出入庫!B:B,表格2[[#This Row],[料號]])</f>
        <v>0</v>
      </c>
      <c r="E19" s="24"/>
      <c r="F19" s="65"/>
      <c r="G19" s="65"/>
      <c r="H19" s="65"/>
      <c r="I19" s="65"/>
    </row>
    <row r="20" spans="1:9" ht="15.5" x14ac:dyDescent="0.3">
      <c r="A20" s="3" t="s">
        <v>30</v>
      </c>
      <c r="B20" s="2" t="s">
        <v>25</v>
      </c>
      <c r="C20" s="2" t="s">
        <v>31</v>
      </c>
      <c r="D20" s="24">
        <f>SUMIFS(出入庫!F:F,出入庫!E:E,"入庫",出入庫!B:B,表格2[[#This Row],[料號]])-SUMIFS(出入庫!F:F,出入庫!E:E,"出庫",出入庫!B:B,表格2[[#This Row],[料號]])</f>
        <v>0</v>
      </c>
      <c r="E20" s="24"/>
      <c r="F20" s="65"/>
      <c r="G20" s="65"/>
      <c r="H20" s="65"/>
      <c r="I20" s="65"/>
    </row>
    <row r="21" spans="1:9" ht="15.5" x14ac:dyDescent="0.3">
      <c r="A21" s="3" t="s">
        <v>32</v>
      </c>
      <c r="B21" s="2" t="s">
        <v>25</v>
      </c>
      <c r="C21" s="2" t="s">
        <v>33</v>
      </c>
      <c r="D21" s="24">
        <f>SUMIFS(出入庫!F:F,出入庫!E:E,"入庫",出入庫!B:B,表格2[[#This Row],[料號]])-SUMIFS(出入庫!F:F,出入庫!E:E,"出庫",出入庫!B:B,表格2[[#This Row],[料號]])</f>
        <v>0</v>
      </c>
      <c r="E21" s="24"/>
      <c r="F21" s="65"/>
      <c r="G21" s="65"/>
      <c r="H21" s="65"/>
      <c r="I21" s="65"/>
    </row>
    <row r="22" spans="1:9" ht="15.5" x14ac:dyDescent="0.3">
      <c r="A22" s="3" t="s">
        <v>34</v>
      </c>
      <c r="B22" s="2" t="s">
        <v>25</v>
      </c>
      <c r="C22" s="2" t="s">
        <v>35</v>
      </c>
      <c r="D22" s="24">
        <f>SUMIFS(出入庫!F:F,出入庫!E:E,"入庫",出入庫!B:B,表格2[[#This Row],[料號]])-SUMIFS(出入庫!F:F,出入庫!E:E,"出庫",出入庫!B:B,表格2[[#This Row],[料號]])</f>
        <v>0</v>
      </c>
      <c r="E22" s="24"/>
      <c r="F22" s="65"/>
      <c r="G22" s="65"/>
      <c r="H22" s="65"/>
      <c r="I22" s="65"/>
    </row>
    <row r="23" spans="1:9" ht="17" x14ac:dyDescent="0.3">
      <c r="A23" s="3" t="s">
        <v>36</v>
      </c>
      <c r="B23" s="2" t="s">
        <v>25</v>
      </c>
      <c r="C23" s="2" t="s">
        <v>534</v>
      </c>
      <c r="D23" s="24">
        <f>SUMIFS(出入庫!F:F,出入庫!E:E,"入庫",出入庫!B:B,表格2[[#This Row],[料號]])-SUMIFS(出入庫!F:F,出入庫!E:E,"出庫",出入庫!B:B,表格2[[#This Row],[料號]])</f>
        <v>0</v>
      </c>
      <c r="E23" s="24"/>
      <c r="F23" s="65"/>
      <c r="G23" s="65"/>
      <c r="H23" s="65"/>
      <c r="I23" s="65"/>
    </row>
    <row r="24" spans="1:9" ht="17" x14ac:dyDescent="0.3">
      <c r="A24" s="3" t="s">
        <v>37</v>
      </c>
      <c r="B24" s="2" t="s">
        <v>25</v>
      </c>
      <c r="C24" s="2" t="s">
        <v>535</v>
      </c>
      <c r="D24" s="24">
        <f>SUMIFS(出入庫!F:F,出入庫!E:E,"入庫",出入庫!B:B,表格2[[#This Row],[料號]])-SUMIFS(出入庫!F:F,出入庫!E:E,"出庫",出入庫!B:B,表格2[[#This Row],[料號]])</f>
        <v>0</v>
      </c>
      <c r="E24" s="24"/>
      <c r="F24" s="65"/>
      <c r="G24" s="65"/>
      <c r="H24" s="65"/>
      <c r="I24" s="65"/>
    </row>
    <row r="25" spans="1:9" ht="15.5" x14ac:dyDescent="0.3">
      <c r="A25" s="3" t="s">
        <v>38</v>
      </c>
      <c r="B25" s="2" t="s">
        <v>25</v>
      </c>
      <c r="C25" s="2" t="s">
        <v>39</v>
      </c>
      <c r="D25" s="24">
        <f>SUMIFS(出入庫!F:F,出入庫!E:E,"入庫",出入庫!B:B,表格2[[#This Row],[料號]])-SUMIFS(出入庫!F:F,出入庫!E:E,"出庫",出入庫!B:B,表格2[[#This Row],[料號]])</f>
        <v>0</v>
      </c>
      <c r="E25" s="24"/>
      <c r="F25" s="65"/>
      <c r="G25" s="65"/>
      <c r="H25" s="65"/>
      <c r="I25" s="65"/>
    </row>
    <row r="26" spans="1:9" ht="15.5" x14ac:dyDescent="0.3">
      <c r="A26" s="3" t="s">
        <v>40</v>
      </c>
      <c r="B26" s="2" t="s">
        <v>25</v>
      </c>
      <c r="C26" s="2" t="s">
        <v>41</v>
      </c>
      <c r="D26" s="24">
        <f>SUMIFS(出入庫!F:F,出入庫!E:E,"入庫",出入庫!B:B,表格2[[#This Row],[料號]])-SUMIFS(出入庫!F:F,出入庫!E:E,"出庫",出入庫!B:B,表格2[[#This Row],[料號]])</f>
        <v>0</v>
      </c>
      <c r="E26" s="24"/>
      <c r="F26" s="65"/>
      <c r="G26" s="65"/>
      <c r="H26" s="65"/>
      <c r="I26" s="65"/>
    </row>
    <row r="27" spans="1:9" ht="17" x14ac:dyDescent="0.3">
      <c r="A27" s="3" t="s">
        <v>42</v>
      </c>
      <c r="B27" s="2" t="s">
        <v>25</v>
      </c>
      <c r="C27" s="2" t="s">
        <v>536</v>
      </c>
      <c r="D27" s="24">
        <f>SUMIFS(出入庫!F:F,出入庫!E:E,"入庫",出入庫!B:B,表格2[[#This Row],[料號]])-SUMIFS(出入庫!F:F,出入庫!E:E,"出庫",出入庫!B:B,表格2[[#This Row],[料號]])</f>
        <v>0</v>
      </c>
      <c r="E27" s="24"/>
      <c r="F27" s="65"/>
      <c r="G27" s="65"/>
      <c r="H27" s="65"/>
      <c r="I27" s="65"/>
    </row>
    <row r="28" spans="1:9" ht="15.5" x14ac:dyDescent="0.3">
      <c r="A28" s="3" t="s">
        <v>43</v>
      </c>
      <c r="B28" s="2" t="s">
        <v>25</v>
      </c>
      <c r="C28" s="2" t="s">
        <v>44</v>
      </c>
      <c r="D28" s="24">
        <f>SUMIFS(出入庫!F:F,出入庫!E:E,"入庫",出入庫!B:B,表格2[[#This Row],[料號]])-SUMIFS(出入庫!F:F,出入庫!E:E,"出庫",出入庫!B:B,表格2[[#This Row],[料號]])</f>
        <v>0</v>
      </c>
      <c r="E28" s="24"/>
      <c r="F28" s="65"/>
      <c r="G28" s="65"/>
      <c r="H28" s="65"/>
      <c r="I28" s="65"/>
    </row>
    <row r="29" spans="1:9" ht="15.5" x14ac:dyDescent="0.3">
      <c r="A29" s="3" t="s">
        <v>45</v>
      </c>
      <c r="B29" s="2" t="s">
        <v>25</v>
      </c>
      <c r="C29" s="2" t="s">
        <v>46</v>
      </c>
      <c r="D29" s="24">
        <f>SUMIFS(出入庫!F:F,出入庫!E:E,"入庫",出入庫!B:B,表格2[[#This Row],[料號]])-SUMIFS(出入庫!F:F,出入庫!E:E,"出庫",出入庫!B:B,表格2[[#This Row],[料號]])</f>
        <v>0</v>
      </c>
      <c r="E29" s="24"/>
      <c r="F29" s="65"/>
      <c r="G29" s="65"/>
      <c r="H29" s="65"/>
      <c r="I29" s="65"/>
    </row>
    <row r="30" spans="1:9" ht="15.5" x14ac:dyDescent="0.3">
      <c r="A30" s="3" t="s">
        <v>47</v>
      </c>
      <c r="B30" s="2" t="s">
        <v>48</v>
      </c>
      <c r="C30" s="2" t="s">
        <v>49</v>
      </c>
      <c r="D30" s="24">
        <f>SUMIFS(出入庫!F:F,出入庫!E:E,"入庫",出入庫!B:B,表格2[[#This Row],[料號]])-SUMIFS(出入庫!F:F,出入庫!E:E,"出庫",出入庫!B:B,表格2[[#This Row],[料號]])</f>
        <v>0</v>
      </c>
      <c r="E30" s="24"/>
      <c r="F30" s="65"/>
      <c r="G30" s="65"/>
      <c r="H30" s="65"/>
      <c r="I30" s="65"/>
    </row>
    <row r="31" spans="1:9" ht="15.5" x14ac:dyDescent="0.3">
      <c r="A31" s="3" t="s">
        <v>50</v>
      </c>
      <c r="B31" s="2" t="s">
        <v>48</v>
      </c>
      <c r="C31" s="2" t="s">
        <v>51</v>
      </c>
      <c r="D31" s="24">
        <f>SUMIFS(出入庫!F:F,出入庫!E:E,"入庫",出入庫!B:B,表格2[[#This Row],[料號]])-SUMIFS(出入庫!F:F,出入庫!E:E,"出庫",出入庫!B:B,表格2[[#This Row],[料號]])</f>
        <v>0</v>
      </c>
      <c r="E31" s="24"/>
      <c r="F31" s="65"/>
      <c r="G31" s="65"/>
      <c r="H31" s="65"/>
      <c r="I31" s="65"/>
    </row>
    <row r="32" spans="1:9" ht="15.5" x14ac:dyDescent="0.3">
      <c r="A32" s="3" t="s">
        <v>52</v>
      </c>
      <c r="B32" s="2" t="s">
        <v>53</v>
      </c>
      <c r="C32" s="2" t="s">
        <v>54</v>
      </c>
      <c r="D32" s="24">
        <f>SUMIFS(出入庫!F:F,出入庫!E:E,"入庫",出入庫!B:B,表格2[[#This Row],[料號]])-SUMIFS(出入庫!F:F,出入庫!E:E,"出庫",出入庫!B:B,表格2[[#This Row],[料號]])</f>
        <v>3241</v>
      </c>
      <c r="E32" s="24"/>
      <c r="F32" s="65"/>
      <c r="G32" s="65"/>
      <c r="H32" s="65"/>
      <c r="I32" s="65"/>
    </row>
    <row r="33" spans="1:9" ht="15.5" x14ac:dyDescent="0.3">
      <c r="A33" s="3" t="s">
        <v>55</v>
      </c>
      <c r="B33" s="2" t="s">
        <v>53</v>
      </c>
      <c r="C33" s="2" t="s">
        <v>56</v>
      </c>
      <c r="D33" s="24">
        <f>SUMIFS(出入庫!F:F,出入庫!E:E,"入庫",出入庫!B:B,表格2[[#This Row],[料號]])-SUMIFS(出入庫!F:F,出入庫!E:E,"出庫",出入庫!B:B,表格2[[#This Row],[料號]])</f>
        <v>161</v>
      </c>
      <c r="E33" s="24"/>
      <c r="F33" s="65" t="s">
        <v>1134</v>
      </c>
      <c r="G33" s="65"/>
      <c r="H33" s="65"/>
      <c r="I33" s="65"/>
    </row>
    <row r="34" spans="1:9" ht="15.5" x14ac:dyDescent="0.3">
      <c r="A34" s="3" t="s">
        <v>57</v>
      </c>
      <c r="B34" s="2" t="s">
        <v>53</v>
      </c>
      <c r="C34" s="2" t="s">
        <v>58</v>
      </c>
      <c r="D34" s="24">
        <f>SUMIFS(出入庫!F:F,出入庫!E:E,"入庫",出入庫!B:B,表格2[[#This Row],[料號]])-SUMIFS(出入庫!F:F,出入庫!E:E,"出庫",出入庫!B:B,表格2[[#This Row],[料號]])</f>
        <v>1021</v>
      </c>
      <c r="E34" s="24"/>
      <c r="F34" s="65"/>
      <c r="G34" s="65"/>
      <c r="H34" s="65"/>
      <c r="I34" s="65"/>
    </row>
    <row r="35" spans="1:9" ht="15.5" x14ac:dyDescent="0.3">
      <c r="A35" s="3" t="s">
        <v>59</v>
      </c>
      <c r="B35" s="2" t="s">
        <v>60</v>
      </c>
      <c r="C35" s="2" t="s">
        <v>61</v>
      </c>
      <c r="D35" s="24">
        <f>SUMIFS(出入庫!F:F,出入庫!E:E,"入庫",出入庫!B:B,表格2[[#This Row],[料號]])-SUMIFS(出入庫!F:F,出入庫!E:E,"出庫",出入庫!B:B,表格2[[#This Row],[料號]])</f>
        <v>0</v>
      </c>
      <c r="E35" s="24"/>
      <c r="F35" s="65"/>
      <c r="G35" s="65"/>
      <c r="H35" s="65"/>
      <c r="I35" s="65"/>
    </row>
    <row r="36" spans="1:9" ht="15.5" x14ac:dyDescent="0.3">
      <c r="A36" s="3" t="s">
        <v>62</v>
      </c>
      <c r="B36" s="2" t="s">
        <v>60</v>
      </c>
      <c r="C36" s="2" t="s">
        <v>63</v>
      </c>
      <c r="D36" s="24">
        <f>SUMIFS(出入庫!F:F,出入庫!E:E,"入庫",出入庫!B:B,表格2[[#This Row],[料號]])-SUMIFS(出入庫!F:F,出入庫!E:E,"出庫",出入庫!B:B,表格2[[#This Row],[料號]])</f>
        <v>0</v>
      </c>
      <c r="E36" s="24"/>
      <c r="F36" s="65"/>
      <c r="G36" s="65"/>
      <c r="H36" s="65"/>
      <c r="I36" s="65"/>
    </row>
    <row r="37" spans="1:9" ht="15.5" x14ac:dyDescent="0.3">
      <c r="A37" s="3" t="s">
        <v>64</v>
      </c>
      <c r="B37" s="2" t="s">
        <v>60</v>
      </c>
      <c r="C37" s="2" t="s">
        <v>65</v>
      </c>
      <c r="D37" s="24">
        <f>SUMIFS(出入庫!F:F,出入庫!E:E,"入庫",出入庫!B:B,表格2[[#This Row],[料號]])-SUMIFS(出入庫!F:F,出入庫!E:E,"出庫",出入庫!B:B,表格2[[#This Row],[料號]])</f>
        <v>2056</v>
      </c>
      <c r="E37" s="24"/>
      <c r="F37" s="65" t="s">
        <v>1133</v>
      </c>
      <c r="G37" s="65"/>
      <c r="H37" s="65"/>
      <c r="I37" s="65"/>
    </row>
    <row r="38" spans="1:9" ht="15.5" x14ac:dyDescent="0.3">
      <c r="A38" s="3" t="s">
        <v>66</v>
      </c>
      <c r="B38" s="2" t="s">
        <v>60</v>
      </c>
      <c r="C38" s="2" t="s">
        <v>67</v>
      </c>
      <c r="D38" s="24">
        <f>SUMIFS(出入庫!F:F,出入庫!E:E,"入庫",出入庫!B:B,表格2[[#This Row],[料號]])-SUMIFS(出入庫!F:F,出入庫!E:E,"出庫",出入庫!B:B,表格2[[#This Row],[料號]])</f>
        <v>0</v>
      </c>
      <c r="E38" s="24"/>
      <c r="F38" s="65"/>
      <c r="G38" s="65"/>
      <c r="H38" s="65"/>
      <c r="I38" s="65"/>
    </row>
    <row r="39" spans="1:9" ht="15.5" x14ac:dyDescent="0.3">
      <c r="A39" s="3" t="s">
        <v>68</v>
      </c>
      <c r="B39" s="2" t="s">
        <v>60</v>
      </c>
      <c r="C39" s="2" t="s">
        <v>69</v>
      </c>
      <c r="D39" s="24">
        <f>SUMIFS(出入庫!F:F,出入庫!E:E,"入庫",出入庫!B:B,表格2[[#This Row],[料號]])-SUMIFS(出入庫!F:F,出入庫!E:E,"出庫",出入庫!B:B,表格2[[#This Row],[料號]])</f>
        <v>0</v>
      </c>
      <c r="E39" s="24"/>
      <c r="F39" s="65"/>
      <c r="G39" s="65"/>
      <c r="H39" s="65"/>
      <c r="I39" s="65"/>
    </row>
    <row r="40" spans="1:9" ht="15.5" x14ac:dyDescent="0.3">
      <c r="A40" s="3" t="s">
        <v>70</v>
      </c>
      <c r="B40" s="2" t="s">
        <v>60</v>
      </c>
      <c r="C40" s="2" t="s">
        <v>71</v>
      </c>
      <c r="D40" s="24">
        <f>SUMIFS(出入庫!F:F,出入庫!E:E,"入庫",出入庫!B:B,表格2[[#This Row],[料號]])-SUMIFS(出入庫!F:F,出入庫!E:E,"出庫",出入庫!B:B,表格2[[#This Row],[料號]])</f>
        <v>454</v>
      </c>
      <c r="E40" s="24"/>
      <c r="F40" s="65" t="s">
        <v>1132</v>
      </c>
      <c r="G40" s="65"/>
      <c r="H40" s="65"/>
      <c r="I40" s="65"/>
    </row>
    <row r="41" spans="1:9" ht="15.5" x14ac:dyDescent="0.3">
      <c r="A41" s="3" t="s">
        <v>72</v>
      </c>
      <c r="B41" s="2" t="s">
        <v>60</v>
      </c>
      <c r="C41" s="2" t="s">
        <v>73</v>
      </c>
      <c r="D41" s="24">
        <f>SUMIFS(出入庫!F:F,出入庫!E:E,"入庫",出入庫!B:B,表格2[[#This Row],[料號]])-SUMIFS(出入庫!F:F,出入庫!E:E,"出庫",出入庫!B:B,表格2[[#This Row],[料號]])</f>
        <v>0</v>
      </c>
      <c r="E41" s="24"/>
      <c r="F41" s="65"/>
      <c r="G41" s="65"/>
      <c r="H41" s="65"/>
      <c r="I41" s="65"/>
    </row>
    <row r="42" spans="1:9" ht="15.5" x14ac:dyDescent="0.3">
      <c r="A42" s="3" t="s">
        <v>74</v>
      </c>
      <c r="B42" s="2" t="s">
        <v>60</v>
      </c>
      <c r="C42" s="2" t="s">
        <v>75</v>
      </c>
      <c r="D42" s="24">
        <f>SUMIFS(出入庫!F:F,出入庫!E:E,"入庫",出入庫!B:B,表格2[[#This Row],[料號]])-SUMIFS(出入庫!F:F,出入庫!E:E,"出庫",出入庫!B:B,表格2[[#This Row],[料號]])</f>
        <v>2239</v>
      </c>
      <c r="E42" s="24"/>
      <c r="F42" s="65" t="s">
        <v>1133</v>
      </c>
      <c r="G42" s="65"/>
      <c r="H42" s="65"/>
      <c r="I42" s="65"/>
    </row>
    <row r="43" spans="1:9" ht="15.5" x14ac:dyDescent="0.3">
      <c r="A43" s="3" t="s">
        <v>76</v>
      </c>
      <c r="B43" s="2" t="s">
        <v>60</v>
      </c>
      <c r="C43" s="2" t="s">
        <v>77</v>
      </c>
      <c r="D43" s="24">
        <f>SUMIFS(出入庫!F:F,出入庫!E:E,"入庫",出入庫!B:B,表格2[[#This Row],[料號]])-SUMIFS(出入庫!F:F,出入庫!E:E,"出庫",出入庫!B:B,表格2[[#This Row],[料號]])</f>
        <v>2483</v>
      </c>
      <c r="E43" s="24"/>
      <c r="F43" s="65" t="s">
        <v>1133</v>
      </c>
      <c r="G43" s="65"/>
      <c r="H43" s="65"/>
      <c r="I43" s="65"/>
    </row>
    <row r="44" spans="1:9" ht="15.5" x14ac:dyDescent="0.3">
      <c r="A44" s="3" t="s">
        <v>78</v>
      </c>
      <c r="B44" s="2" t="s">
        <v>60</v>
      </c>
      <c r="C44" s="2" t="s">
        <v>79</v>
      </c>
      <c r="D44" s="24">
        <f>SUMIFS(出入庫!F:F,出入庫!E:E,"入庫",出入庫!B:B,表格2[[#This Row],[料號]])-SUMIFS(出入庫!F:F,出入庫!E:E,"出庫",出入庫!B:B,表格2[[#This Row],[料號]])</f>
        <v>0</v>
      </c>
      <c r="E44" s="24"/>
      <c r="F44" s="65"/>
      <c r="G44" s="65"/>
      <c r="H44" s="65"/>
      <c r="I44" s="65"/>
    </row>
    <row r="45" spans="1:9" ht="17" x14ac:dyDescent="0.3">
      <c r="A45" s="3" t="s">
        <v>80</v>
      </c>
      <c r="B45" s="2" t="s">
        <v>81</v>
      </c>
      <c r="C45" s="2" t="s">
        <v>537</v>
      </c>
      <c r="D45" s="24">
        <f>SUMIFS(出入庫!F:F,出入庫!E:E,"入庫",出入庫!B:B,表格2[[#This Row],[料號]])-SUMIFS(出入庫!F:F,出入庫!E:E,"出庫",出入庫!B:B,表格2[[#This Row],[料號]])</f>
        <v>14074</v>
      </c>
      <c r="E45" s="24"/>
      <c r="F45" s="65" t="s">
        <v>1133</v>
      </c>
      <c r="G45" s="65"/>
      <c r="H45" s="51" t="s">
        <v>1149</v>
      </c>
      <c r="I45" s="65"/>
    </row>
    <row r="46" spans="1:9" ht="17" x14ac:dyDescent="0.3">
      <c r="A46" s="3" t="s">
        <v>82</v>
      </c>
      <c r="B46" s="2" t="s">
        <v>81</v>
      </c>
      <c r="C46" s="2" t="s">
        <v>538</v>
      </c>
      <c r="D46" s="24">
        <f>SUMIFS(出入庫!F:F,出入庫!E:E,"入庫",出入庫!B:B,表格2[[#This Row],[料號]])-SUMIFS(出入庫!F:F,出入庫!E:E,"出庫",出入庫!B:B,表格2[[#This Row],[料號]])</f>
        <v>14794</v>
      </c>
      <c r="E46" s="24"/>
      <c r="F46" s="65" t="s">
        <v>1133</v>
      </c>
      <c r="G46" s="65"/>
      <c r="H46" s="51" t="s">
        <v>1149</v>
      </c>
      <c r="I46" s="65"/>
    </row>
    <row r="47" spans="1:9" ht="17" x14ac:dyDescent="0.3">
      <c r="A47" s="3" t="s">
        <v>83</v>
      </c>
      <c r="B47" s="2" t="s">
        <v>81</v>
      </c>
      <c r="C47" s="2" t="s">
        <v>539</v>
      </c>
      <c r="D47" s="24">
        <f>SUMIFS(出入庫!F:F,出入庫!E:E,"入庫",出入庫!B:B,表格2[[#This Row],[料號]])-SUMIFS(出入庫!F:F,出入庫!E:E,"出庫",出入庫!B:B,表格2[[#This Row],[料號]])</f>
        <v>0</v>
      </c>
      <c r="E47" s="24"/>
      <c r="F47" s="65" t="s">
        <v>1133</v>
      </c>
      <c r="G47" s="65"/>
      <c r="H47" s="51" t="s">
        <v>1149</v>
      </c>
      <c r="I47" s="65"/>
    </row>
    <row r="48" spans="1:9" ht="17" x14ac:dyDescent="0.3">
      <c r="A48" s="3" t="s">
        <v>84</v>
      </c>
      <c r="B48" s="2" t="s">
        <v>81</v>
      </c>
      <c r="C48" s="2" t="s">
        <v>540</v>
      </c>
      <c r="D48" s="24">
        <f>SUMIFS(出入庫!F:F,出入庫!E:E,"入庫",出入庫!B:B,表格2[[#This Row],[料號]])-SUMIFS(出入庫!F:F,出入庫!E:E,"出庫",出入庫!B:B,表格2[[#This Row],[料號]])</f>
        <v>0</v>
      </c>
      <c r="E48" s="24"/>
      <c r="F48" s="65" t="s">
        <v>1133</v>
      </c>
      <c r="G48" s="65"/>
      <c r="H48" s="51" t="s">
        <v>1149</v>
      </c>
      <c r="I48" s="65"/>
    </row>
    <row r="49" spans="1:9" ht="17" x14ac:dyDescent="0.3">
      <c r="A49" s="3" t="s">
        <v>85</v>
      </c>
      <c r="B49" s="2" t="s">
        <v>81</v>
      </c>
      <c r="C49" s="2" t="s">
        <v>541</v>
      </c>
      <c r="D49" s="24">
        <f>SUMIFS(出入庫!F:F,出入庫!E:E,"入庫",出入庫!B:B,表格2[[#This Row],[料號]])-SUMIFS(出入庫!F:F,出入庫!E:E,"出庫",出入庫!B:B,表格2[[#This Row],[料號]])</f>
        <v>9180</v>
      </c>
      <c r="E49" s="24"/>
      <c r="F49" s="65" t="s">
        <v>1133</v>
      </c>
      <c r="G49" s="65"/>
      <c r="H49" s="51" t="s">
        <v>1149</v>
      </c>
      <c r="I49" s="65"/>
    </row>
    <row r="50" spans="1:9" ht="17" x14ac:dyDescent="0.3">
      <c r="A50" s="3" t="s">
        <v>86</v>
      </c>
      <c r="B50" s="2" t="s">
        <v>81</v>
      </c>
      <c r="C50" s="2" t="s">
        <v>542</v>
      </c>
      <c r="D50" s="24">
        <f>SUMIFS(出入庫!F:F,出入庫!E:E,"入庫",出入庫!B:B,表格2[[#This Row],[料號]])-SUMIFS(出入庫!F:F,出入庫!E:E,"出庫",出入庫!B:B,表格2[[#This Row],[料號]])</f>
        <v>4118</v>
      </c>
      <c r="E50" s="24"/>
      <c r="F50" s="65" t="s">
        <v>1133</v>
      </c>
      <c r="G50" s="65"/>
      <c r="H50" s="51" t="s">
        <v>1149</v>
      </c>
      <c r="I50" s="65"/>
    </row>
    <row r="51" spans="1:9" ht="17" x14ac:dyDescent="0.3">
      <c r="A51" s="3" t="s">
        <v>910</v>
      </c>
      <c r="B51" s="2" t="s">
        <v>81</v>
      </c>
      <c r="C51" s="2" t="s">
        <v>543</v>
      </c>
      <c r="D51" s="24">
        <f>SUMIFS(出入庫!F:F,出入庫!E:E,"入庫",出入庫!B:B,表格2[[#This Row],[料號]])-SUMIFS(出入庫!F:F,出入庫!E:E,"出庫",出入庫!B:B,表格2[[#This Row],[料號]])</f>
        <v>15085</v>
      </c>
      <c r="E51" s="24"/>
      <c r="F51" s="65" t="s">
        <v>1133</v>
      </c>
      <c r="G51" s="65"/>
      <c r="H51" s="51" t="s">
        <v>1149</v>
      </c>
      <c r="I51" s="65"/>
    </row>
    <row r="52" spans="1:9" ht="17" x14ac:dyDescent="0.3">
      <c r="A52" s="3" t="s">
        <v>88</v>
      </c>
      <c r="B52" s="2" t="s">
        <v>81</v>
      </c>
      <c r="C52" s="2" t="s">
        <v>544</v>
      </c>
      <c r="D52" s="24">
        <f>SUMIFS(出入庫!F:F,出入庫!E:E,"入庫",出入庫!B:B,表格2[[#This Row],[料號]])-SUMIFS(出入庫!F:F,出入庫!E:E,"出庫",出入庫!B:B,表格2[[#This Row],[料號]])</f>
        <v>1540</v>
      </c>
      <c r="E52" s="24"/>
      <c r="F52" s="65" t="s">
        <v>1133</v>
      </c>
      <c r="G52" s="65"/>
      <c r="H52" s="51" t="s">
        <v>1149</v>
      </c>
      <c r="I52" s="65"/>
    </row>
    <row r="53" spans="1:9" ht="17" x14ac:dyDescent="0.3">
      <c r="A53" s="3" t="s">
        <v>89</v>
      </c>
      <c r="B53" s="2" t="s">
        <v>81</v>
      </c>
      <c r="C53" s="2" t="s">
        <v>545</v>
      </c>
      <c r="D53" s="24">
        <f>SUMIFS(出入庫!F:F,出入庫!E:E,"入庫",出入庫!B:B,表格2[[#This Row],[料號]])-SUMIFS(出入庫!F:F,出入庫!E:E,"出庫",出入庫!B:B,表格2[[#This Row],[料號]])</f>
        <v>4011</v>
      </c>
      <c r="E53" s="24"/>
      <c r="F53" s="65" t="s">
        <v>1133</v>
      </c>
      <c r="G53" s="65"/>
      <c r="H53" s="51" t="s">
        <v>1149</v>
      </c>
      <c r="I53" s="65"/>
    </row>
    <row r="54" spans="1:9" ht="17" x14ac:dyDescent="0.3">
      <c r="A54" s="3" t="s">
        <v>90</v>
      </c>
      <c r="B54" s="2" t="s">
        <v>81</v>
      </c>
      <c r="C54" s="2" t="s">
        <v>546</v>
      </c>
      <c r="D54" s="24">
        <f>SUMIFS(出入庫!F:F,出入庫!E:E,"入庫",出入庫!B:B,表格2[[#This Row],[料號]])-SUMIFS(出入庫!F:F,出入庫!E:E,"出庫",出入庫!B:B,表格2[[#This Row],[料號]])</f>
        <v>3522</v>
      </c>
      <c r="E54" s="24"/>
      <c r="F54" s="65" t="s">
        <v>1133</v>
      </c>
      <c r="G54" s="65"/>
      <c r="H54" s="51" t="s">
        <v>1149</v>
      </c>
      <c r="I54" s="65"/>
    </row>
    <row r="55" spans="1:9" ht="17" x14ac:dyDescent="0.3">
      <c r="A55" s="3" t="s">
        <v>91</v>
      </c>
      <c r="B55" s="2" t="s">
        <v>81</v>
      </c>
      <c r="C55" s="2" t="s">
        <v>547</v>
      </c>
      <c r="D55" s="24">
        <f>SUMIFS(出入庫!F:F,出入庫!E:E,"入庫",出入庫!B:B,表格2[[#This Row],[料號]])-SUMIFS(出入庫!F:F,出入庫!E:E,"出庫",出入庫!B:B,表格2[[#This Row],[料號]])</f>
        <v>2388</v>
      </c>
      <c r="E55" s="24"/>
      <c r="F55" s="65" t="s">
        <v>1133</v>
      </c>
      <c r="G55" s="65"/>
      <c r="H55" s="51" t="s">
        <v>1149</v>
      </c>
      <c r="I55" s="65"/>
    </row>
    <row r="56" spans="1:9" ht="17" x14ac:dyDescent="0.3">
      <c r="A56" s="3" t="s">
        <v>92</v>
      </c>
      <c r="B56" s="2" t="s">
        <v>81</v>
      </c>
      <c r="C56" s="2" t="s">
        <v>548</v>
      </c>
      <c r="D56" s="24">
        <f>SUMIFS(出入庫!F:F,出入庫!E:E,"入庫",出入庫!B:B,表格2[[#This Row],[料號]])-SUMIFS(出入庫!F:F,出入庫!E:E,"出庫",出入庫!B:B,表格2[[#This Row],[料號]])</f>
        <v>4239</v>
      </c>
      <c r="E56" s="24"/>
      <c r="F56" s="65" t="s">
        <v>1133</v>
      </c>
      <c r="G56" s="65"/>
      <c r="H56" s="51" t="s">
        <v>1149</v>
      </c>
      <c r="I56" s="65"/>
    </row>
    <row r="57" spans="1:9" ht="17" x14ac:dyDescent="0.3">
      <c r="A57" s="3" t="s">
        <v>93</v>
      </c>
      <c r="B57" s="2" t="s">
        <v>81</v>
      </c>
      <c r="C57" s="2" t="s">
        <v>549</v>
      </c>
      <c r="D57" s="24">
        <f>SUMIFS(出入庫!F:F,出入庫!E:E,"入庫",出入庫!B:B,表格2[[#This Row],[料號]])-SUMIFS(出入庫!F:F,出入庫!E:E,"出庫",出入庫!B:B,表格2[[#This Row],[料號]])</f>
        <v>3368</v>
      </c>
      <c r="E57" s="24"/>
      <c r="F57" s="65" t="s">
        <v>1133</v>
      </c>
      <c r="G57" s="65"/>
      <c r="H57" s="51" t="s">
        <v>1149</v>
      </c>
      <c r="I57" s="65"/>
    </row>
    <row r="58" spans="1:9" ht="17" x14ac:dyDescent="0.3">
      <c r="A58" s="3" t="s">
        <v>94</v>
      </c>
      <c r="B58" s="2" t="s">
        <v>81</v>
      </c>
      <c r="C58" s="2" t="s">
        <v>550</v>
      </c>
      <c r="D58" s="24">
        <f>SUMIFS(出入庫!F:F,出入庫!E:E,"入庫",出入庫!B:B,表格2[[#This Row],[料號]])-SUMIFS(出入庫!F:F,出入庫!E:E,"出庫",出入庫!B:B,表格2[[#This Row],[料號]])</f>
        <v>8487</v>
      </c>
      <c r="E58" s="24"/>
      <c r="F58" s="65" t="s">
        <v>1133</v>
      </c>
      <c r="G58" s="65"/>
      <c r="H58" s="51" t="s">
        <v>1149</v>
      </c>
      <c r="I58" s="65"/>
    </row>
    <row r="59" spans="1:9" ht="17" x14ac:dyDescent="0.3">
      <c r="A59" s="3" t="s">
        <v>95</v>
      </c>
      <c r="B59" s="2" t="s">
        <v>81</v>
      </c>
      <c r="C59" s="2" t="s">
        <v>551</v>
      </c>
      <c r="D59" s="24">
        <f>SUMIFS(出入庫!F:F,出入庫!E:E,"入庫",出入庫!B:B,表格2[[#This Row],[料號]])-SUMIFS(出入庫!F:F,出入庫!E:E,"出庫",出入庫!B:B,表格2[[#This Row],[料號]])</f>
        <v>52</v>
      </c>
      <c r="E59" s="24"/>
      <c r="F59" s="65" t="s">
        <v>1133</v>
      </c>
      <c r="G59" s="65"/>
      <c r="H59" s="51" t="s">
        <v>1149</v>
      </c>
      <c r="I59" s="65"/>
    </row>
    <row r="60" spans="1:9" ht="17" x14ac:dyDescent="0.3">
      <c r="A60" s="3" t="s">
        <v>96</v>
      </c>
      <c r="B60" s="2" t="s">
        <v>81</v>
      </c>
      <c r="C60" s="2" t="s">
        <v>552</v>
      </c>
      <c r="D60" s="24">
        <f>SUMIFS(出入庫!F:F,出入庫!E:E,"入庫",出入庫!B:B,表格2[[#This Row],[料號]])-SUMIFS(出入庫!F:F,出入庫!E:E,"出庫",出入庫!B:B,表格2[[#This Row],[料號]])</f>
        <v>2867</v>
      </c>
      <c r="E60" s="24"/>
      <c r="F60" s="65" t="s">
        <v>1133</v>
      </c>
      <c r="G60" s="65"/>
      <c r="H60" s="51" t="s">
        <v>1149</v>
      </c>
      <c r="I60" s="65"/>
    </row>
    <row r="61" spans="1:9" ht="17" x14ac:dyDescent="0.3">
      <c r="A61" s="3" t="s">
        <v>97</v>
      </c>
      <c r="B61" s="2" t="s">
        <v>81</v>
      </c>
      <c r="C61" s="2" t="s">
        <v>553</v>
      </c>
      <c r="D61" s="24">
        <f>SUMIFS(出入庫!F:F,出入庫!E:E,"入庫",出入庫!B:B,表格2[[#This Row],[料號]])-SUMIFS(出入庫!F:F,出入庫!E:E,"出庫",出入庫!B:B,表格2[[#This Row],[料號]])</f>
        <v>2669</v>
      </c>
      <c r="E61" s="24"/>
      <c r="F61" s="65" t="s">
        <v>1133</v>
      </c>
      <c r="G61" s="65"/>
      <c r="H61" s="51" t="s">
        <v>1149</v>
      </c>
      <c r="I61" s="65"/>
    </row>
    <row r="62" spans="1:9" ht="17" x14ac:dyDescent="0.3">
      <c r="A62" s="3" t="s">
        <v>98</v>
      </c>
      <c r="B62" s="2" t="s">
        <v>81</v>
      </c>
      <c r="C62" s="2" t="s">
        <v>554</v>
      </c>
      <c r="D62" s="24">
        <f>SUMIFS(出入庫!F:F,出入庫!E:E,"入庫",出入庫!B:B,表格2[[#This Row],[料號]])-SUMIFS(出入庫!F:F,出入庫!E:E,"出庫",出入庫!B:B,表格2[[#This Row],[料號]])</f>
        <v>2673</v>
      </c>
      <c r="E62" s="24"/>
      <c r="F62" s="65" t="s">
        <v>1133</v>
      </c>
      <c r="G62" s="65"/>
      <c r="H62" s="51" t="s">
        <v>1149</v>
      </c>
      <c r="I62" s="65"/>
    </row>
    <row r="63" spans="1:9" ht="17" x14ac:dyDescent="0.3">
      <c r="A63" s="3" t="s">
        <v>99</v>
      </c>
      <c r="B63" s="2" t="s">
        <v>81</v>
      </c>
      <c r="C63" s="2" t="s">
        <v>555</v>
      </c>
      <c r="D63" s="24">
        <f>SUMIFS(出入庫!F:F,出入庫!E:E,"入庫",出入庫!B:B,表格2[[#This Row],[料號]])-SUMIFS(出入庫!F:F,出入庫!E:E,"出庫",出入庫!B:B,表格2[[#This Row],[料號]])</f>
        <v>3733</v>
      </c>
      <c r="E63" s="24"/>
      <c r="F63" s="65" t="s">
        <v>1133</v>
      </c>
      <c r="G63" s="65"/>
      <c r="H63" s="51" t="s">
        <v>1149</v>
      </c>
      <c r="I63" s="65"/>
    </row>
    <row r="64" spans="1:9" ht="17" x14ac:dyDescent="0.3">
      <c r="A64" s="3" t="s">
        <v>100</v>
      </c>
      <c r="B64" s="2" t="s">
        <v>81</v>
      </c>
      <c r="C64" s="2" t="s">
        <v>556</v>
      </c>
      <c r="D64" s="24">
        <f>SUMIFS(出入庫!F:F,出入庫!E:E,"入庫",出入庫!B:B,表格2[[#This Row],[料號]])-SUMIFS(出入庫!F:F,出入庫!E:E,"出庫",出入庫!B:B,表格2[[#This Row],[料號]])</f>
        <v>4459</v>
      </c>
      <c r="E64" s="24"/>
      <c r="F64" s="65" t="s">
        <v>1133</v>
      </c>
      <c r="G64" s="65"/>
      <c r="H64" s="51" t="s">
        <v>1149</v>
      </c>
      <c r="I64" s="65"/>
    </row>
    <row r="65" spans="1:9" ht="17" x14ac:dyDescent="0.3">
      <c r="A65" s="3" t="s">
        <v>101</v>
      </c>
      <c r="B65" s="2" t="s">
        <v>81</v>
      </c>
      <c r="C65" s="2" t="s">
        <v>557</v>
      </c>
      <c r="D65" s="24">
        <f>SUMIFS(出入庫!F:F,出入庫!E:E,"入庫",出入庫!B:B,表格2[[#This Row],[料號]])-SUMIFS(出入庫!F:F,出入庫!E:E,"出庫",出入庫!B:B,表格2[[#This Row],[料號]])</f>
        <v>9237</v>
      </c>
      <c r="E65" s="24"/>
      <c r="F65" s="65" t="s">
        <v>1133</v>
      </c>
      <c r="G65" s="65"/>
      <c r="H65" s="51" t="s">
        <v>1149</v>
      </c>
      <c r="I65" s="65"/>
    </row>
    <row r="66" spans="1:9" ht="17" x14ac:dyDescent="0.3">
      <c r="A66" s="3" t="s">
        <v>102</v>
      </c>
      <c r="B66" s="2" t="s">
        <v>81</v>
      </c>
      <c r="C66" s="2" t="s">
        <v>558</v>
      </c>
      <c r="D66" s="24">
        <f>SUMIFS(出入庫!F:F,出入庫!E:E,"入庫",出入庫!B:B,表格2[[#This Row],[料號]])-SUMIFS(出入庫!F:F,出入庫!E:E,"出庫",出入庫!B:B,表格2[[#This Row],[料號]])</f>
        <v>10000</v>
      </c>
      <c r="E66" s="24"/>
      <c r="F66" s="65" t="s">
        <v>1133</v>
      </c>
      <c r="G66" s="65"/>
      <c r="H66" s="51" t="s">
        <v>1149</v>
      </c>
      <c r="I66" s="65"/>
    </row>
    <row r="67" spans="1:9" ht="17" x14ac:dyDescent="0.3">
      <c r="A67" s="3" t="s">
        <v>103</v>
      </c>
      <c r="B67" s="2" t="s">
        <v>81</v>
      </c>
      <c r="C67" s="2" t="s">
        <v>559</v>
      </c>
      <c r="D67" s="24">
        <f>SUMIFS(出入庫!F:F,出入庫!E:E,"入庫",出入庫!B:B,表格2[[#This Row],[料號]])-SUMIFS(出入庫!F:F,出入庫!E:E,"出庫",出入庫!B:B,表格2[[#This Row],[料號]])</f>
        <v>4751</v>
      </c>
      <c r="E67" s="24"/>
      <c r="F67" s="65" t="s">
        <v>1133</v>
      </c>
      <c r="G67" s="65"/>
      <c r="H67" s="51" t="s">
        <v>1149</v>
      </c>
      <c r="I67" s="65"/>
    </row>
    <row r="68" spans="1:9" ht="17" x14ac:dyDescent="0.3">
      <c r="A68" s="3" t="s">
        <v>104</v>
      </c>
      <c r="B68" s="2" t="s">
        <v>81</v>
      </c>
      <c r="C68" s="2" t="s">
        <v>560</v>
      </c>
      <c r="D68" s="24">
        <f>SUMIFS(出入庫!F:F,出入庫!E:E,"入庫",出入庫!B:B,表格2[[#This Row],[料號]])-SUMIFS(出入庫!F:F,出入庫!E:E,"出庫",出入庫!B:B,表格2[[#This Row],[料號]])</f>
        <v>5000</v>
      </c>
      <c r="E68" s="24"/>
      <c r="F68" s="65" t="s">
        <v>1133</v>
      </c>
      <c r="G68" s="65"/>
      <c r="H68" s="51" t="s">
        <v>1149</v>
      </c>
      <c r="I68" s="65"/>
    </row>
    <row r="69" spans="1:9" ht="17" x14ac:dyDescent="0.3">
      <c r="A69" s="3" t="s">
        <v>105</v>
      </c>
      <c r="B69" s="2" t="s">
        <v>81</v>
      </c>
      <c r="C69" s="2" t="s">
        <v>561</v>
      </c>
      <c r="D69" s="24">
        <f>SUMIFS(出入庫!F:F,出入庫!E:E,"入庫",出入庫!B:B,表格2[[#This Row],[料號]])-SUMIFS(出入庫!F:F,出入庫!E:E,"出庫",出入庫!B:B,表格2[[#This Row],[料號]])</f>
        <v>6235</v>
      </c>
      <c r="E69" s="24"/>
      <c r="F69" s="65" t="s">
        <v>1133</v>
      </c>
      <c r="G69" s="65"/>
      <c r="H69" s="51" t="s">
        <v>1149</v>
      </c>
      <c r="I69" s="65"/>
    </row>
    <row r="70" spans="1:9" ht="17" x14ac:dyDescent="0.3">
      <c r="A70" s="3" t="s">
        <v>106</v>
      </c>
      <c r="B70" s="2" t="s">
        <v>81</v>
      </c>
      <c r="C70" s="2" t="s">
        <v>562</v>
      </c>
      <c r="D70" s="24">
        <f>SUMIFS(出入庫!F:F,出入庫!E:E,"入庫",出入庫!B:B,表格2[[#This Row],[料號]])-SUMIFS(出入庫!F:F,出入庫!E:E,"出庫",出入庫!B:B,表格2[[#This Row],[料號]])</f>
        <v>9576</v>
      </c>
      <c r="E70" s="24"/>
      <c r="F70" s="65" t="s">
        <v>1133</v>
      </c>
      <c r="G70" s="65"/>
      <c r="H70" s="51" t="s">
        <v>1149</v>
      </c>
      <c r="I70" s="65"/>
    </row>
    <row r="71" spans="1:9" ht="17" x14ac:dyDescent="0.3">
      <c r="A71" s="3" t="s">
        <v>107</v>
      </c>
      <c r="B71" s="2" t="s">
        <v>81</v>
      </c>
      <c r="C71" s="2" t="s">
        <v>563</v>
      </c>
      <c r="D71" s="24">
        <f>SUMIFS(出入庫!F:F,出入庫!E:E,"入庫",出入庫!B:B,表格2[[#This Row],[料號]])-SUMIFS(出入庫!F:F,出入庫!E:E,"出庫",出入庫!B:B,表格2[[#This Row],[料號]])</f>
        <v>0</v>
      </c>
      <c r="E71" s="24"/>
      <c r="F71" s="65" t="s">
        <v>1133</v>
      </c>
      <c r="G71" s="65"/>
      <c r="H71" s="51" t="s">
        <v>1149</v>
      </c>
      <c r="I71" s="65"/>
    </row>
    <row r="72" spans="1:9" ht="17" x14ac:dyDescent="0.3">
      <c r="A72" s="3" t="s">
        <v>108</v>
      </c>
      <c r="B72" s="2" t="s">
        <v>81</v>
      </c>
      <c r="C72" s="2" t="s">
        <v>564</v>
      </c>
      <c r="D72" s="24">
        <f>SUMIFS(出入庫!F:F,出入庫!E:E,"入庫",出入庫!B:B,表格2[[#This Row],[料號]])-SUMIFS(出入庫!F:F,出入庫!E:E,"出庫",出入庫!B:B,表格2[[#This Row],[料號]])</f>
        <v>4643</v>
      </c>
      <c r="E72" s="24"/>
      <c r="F72" s="65" t="s">
        <v>1133</v>
      </c>
      <c r="G72" s="65"/>
      <c r="H72" s="51" t="s">
        <v>1149</v>
      </c>
      <c r="I72" s="65"/>
    </row>
    <row r="73" spans="1:9" ht="17" x14ac:dyDescent="0.3">
      <c r="A73" s="3" t="s">
        <v>109</v>
      </c>
      <c r="B73" s="2" t="s">
        <v>81</v>
      </c>
      <c r="C73" s="2" t="s">
        <v>565</v>
      </c>
      <c r="D73" s="24">
        <f>SUMIFS(出入庫!F:F,出入庫!E:E,"入庫",出入庫!B:B,表格2[[#This Row],[料號]])-SUMIFS(出入庫!F:F,出入庫!E:E,"出庫",出入庫!B:B,表格2[[#This Row],[料號]])</f>
        <v>4307</v>
      </c>
      <c r="E73" s="24"/>
      <c r="F73" s="65" t="s">
        <v>1133</v>
      </c>
      <c r="G73" s="65"/>
      <c r="H73" s="51" t="s">
        <v>1149</v>
      </c>
      <c r="I73" s="65"/>
    </row>
    <row r="74" spans="1:9" ht="17" x14ac:dyDescent="0.3">
      <c r="A74" s="3" t="s">
        <v>110</v>
      </c>
      <c r="B74" s="2" t="s">
        <v>81</v>
      </c>
      <c r="C74" s="2" t="s">
        <v>566</v>
      </c>
      <c r="D74" s="24">
        <f>SUMIFS(出入庫!F:F,出入庫!E:E,"入庫",出入庫!B:B,表格2[[#This Row],[料號]])-SUMIFS(出入庫!F:F,出入庫!E:E,"出庫",出入庫!B:B,表格2[[#This Row],[料號]])</f>
        <v>4517</v>
      </c>
      <c r="E74" s="24"/>
      <c r="F74" s="65" t="s">
        <v>1133</v>
      </c>
      <c r="G74" s="65"/>
      <c r="H74" s="51" t="s">
        <v>1149</v>
      </c>
      <c r="I74" s="65"/>
    </row>
    <row r="75" spans="1:9" ht="17" x14ac:dyDescent="0.3">
      <c r="A75" s="3" t="s">
        <v>111</v>
      </c>
      <c r="B75" s="2" t="s">
        <v>81</v>
      </c>
      <c r="C75" s="2" t="s">
        <v>567</v>
      </c>
      <c r="D75" s="24">
        <f>SUMIFS(出入庫!F:F,出入庫!E:E,"入庫",出入庫!B:B,表格2[[#This Row],[料號]])-SUMIFS(出入庫!F:F,出入庫!E:E,"出庫",出入庫!B:B,表格2[[#This Row],[料號]])</f>
        <v>4688</v>
      </c>
      <c r="E75" s="24"/>
      <c r="F75" s="65" t="s">
        <v>1133</v>
      </c>
      <c r="G75" s="65"/>
      <c r="H75" s="51" t="s">
        <v>1149</v>
      </c>
      <c r="I75" s="65"/>
    </row>
    <row r="76" spans="1:9" ht="17" x14ac:dyDescent="0.3">
      <c r="A76" s="3" t="s">
        <v>112</v>
      </c>
      <c r="B76" s="2" t="s">
        <v>81</v>
      </c>
      <c r="C76" s="2" t="s">
        <v>568</v>
      </c>
      <c r="D76" s="24">
        <f>SUMIFS(出入庫!F:F,出入庫!E:E,"入庫",出入庫!B:B,表格2[[#This Row],[料號]])-SUMIFS(出入庫!F:F,出入庫!E:E,"出庫",出入庫!B:B,表格2[[#This Row],[料號]])</f>
        <v>2634</v>
      </c>
      <c r="E76" s="24"/>
      <c r="F76" s="65" t="s">
        <v>1133</v>
      </c>
      <c r="G76" s="65"/>
      <c r="H76" s="51" t="s">
        <v>1149</v>
      </c>
      <c r="I76" s="65"/>
    </row>
    <row r="77" spans="1:9" ht="17" x14ac:dyDescent="0.3">
      <c r="A77" s="3" t="s">
        <v>113</v>
      </c>
      <c r="B77" s="2" t="s">
        <v>81</v>
      </c>
      <c r="C77" s="2" t="s">
        <v>569</v>
      </c>
      <c r="D77" s="24">
        <f>SUMIFS(出入庫!F:F,出入庫!E:E,"入庫",出入庫!B:B,表格2[[#This Row],[料號]])-SUMIFS(出入庫!F:F,出入庫!E:E,"出庫",出入庫!B:B,表格2[[#This Row],[料號]])</f>
        <v>4314</v>
      </c>
      <c r="E77" s="24"/>
      <c r="F77" s="65" t="s">
        <v>1133</v>
      </c>
      <c r="G77" s="65"/>
      <c r="H77" s="51" t="s">
        <v>1149</v>
      </c>
      <c r="I77" s="65"/>
    </row>
    <row r="78" spans="1:9" ht="17" x14ac:dyDescent="0.3">
      <c r="A78" s="3" t="s">
        <v>114</v>
      </c>
      <c r="B78" s="2" t="s">
        <v>81</v>
      </c>
      <c r="C78" s="2" t="s">
        <v>570</v>
      </c>
      <c r="D78" s="24">
        <f>SUMIFS(出入庫!F:F,出入庫!E:E,"入庫",出入庫!B:B,表格2[[#This Row],[料號]])-SUMIFS(出入庫!F:F,出入庫!E:E,"出庫",出入庫!B:B,表格2[[#This Row],[料號]])</f>
        <v>4325</v>
      </c>
      <c r="E78" s="24"/>
      <c r="F78" s="65" t="s">
        <v>1133</v>
      </c>
      <c r="G78" s="65"/>
      <c r="H78" s="51" t="s">
        <v>1149</v>
      </c>
      <c r="I78" s="65"/>
    </row>
    <row r="79" spans="1:9" ht="17" x14ac:dyDescent="0.3">
      <c r="A79" s="3" t="s">
        <v>115</v>
      </c>
      <c r="B79" s="2" t="s">
        <v>81</v>
      </c>
      <c r="C79" s="2" t="s">
        <v>571</v>
      </c>
      <c r="D79" s="24">
        <f>SUMIFS(出入庫!F:F,出入庫!E:E,"入庫",出入庫!B:B,表格2[[#This Row],[料號]])-SUMIFS(出入庫!F:F,出入庫!E:E,"出庫",出入庫!B:B,表格2[[#This Row],[料號]])</f>
        <v>9455</v>
      </c>
      <c r="E79" s="24"/>
      <c r="F79" s="65" t="s">
        <v>1133</v>
      </c>
      <c r="G79" s="65"/>
      <c r="H79" s="51" t="s">
        <v>1149</v>
      </c>
      <c r="I79" s="65"/>
    </row>
    <row r="80" spans="1:9" ht="17" x14ac:dyDescent="0.3">
      <c r="A80" s="3" t="s">
        <v>116</v>
      </c>
      <c r="B80" s="2" t="s">
        <v>81</v>
      </c>
      <c r="C80" s="2" t="s">
        <v>572</v>
      </c>
      <c r="D80" s="24">
        <f>SUMIFS(出入庫!F:F,出入庫!E:E,"入庫",出入庫!B:B,表格2[[#This Row],[料號]])-SUMIFS(出入庫!F:F,出入庫!E:E,"出庫",出入庫!B:B,表格2[[#This Row],[料號]])</f>
        <v>4290</v>
      </c>
      <c r="E80" s="24"/>
      <c r="F80" s="65" t="s">
        <v>1133</v>
      </c>
      <c r="G80" s="65"/>
      <c r="H80" s="51" t="s">
        <v>1149</v>
      </c>
      <c r="I80" s="65"/>
    </row>
    <row r="81" spans="1:9" ht="17" x14ac:dyDescent="0.3">
      <c r="A81" s="3" t="s">
        <v>117</v>
      </c>
      <c r="B81" s="2" t="s">
        <v>81</v>
      </c>
      <c r="C81" s="2" t="s">
        <v>573</v>
      </c>
      <c r="D81" s="24">
        <f>SUMIFS(出入庫!F:F,出入庫!E:E,"入庫",出入庫!B:B,表格2[[#This Row],[料號]])-SUMIFS(出入庫!F:F,出入庫!E:E,"出庫",出入庫!B:B,表格2[[#This Row],[料號]])</f>
        <v>4811</v>
      </c>
      <c r="E81" s="24"/>
      <c r="F81" s="65" t="s">
        <v>1133</v>
      </c>
      <c r="G81" s="65"/>
      <c r="H81" s="51" t="s">
        <v>1149</v>
      </c>
      <c r="I81" s="65"/>
    </row>
    <row r="82" spans="1:9" ht="17" x14ac:dyDescent="0.3">
      <c r="A82" s="3" t="s">
        <v>118</v>
      </c>
      <c r="B82" s="2" t="s">
        <v>81</v>
      </c>
      <c r="C82" s="2" t="s">
        <v>574</v>
      </c>
      <c r="D82" s="24">
        <f>SUMIFS(出入庫!F:F,出入庫!E:E,"入庫",出入庫!B:B,表格2[[#This Row],[料號]])-SUMIFS(出入庫!F:F,出入庫!E:E,"出庫",出入庫!B:B,表格2[[#This Row],[料號]])</f>
        <v>3827</v>
      </c>
      <c r="E82" s="24"/>
      <c r="F82" s="65" t="s">
        <v>1133</v>
      </c>
      <c r="G82" s="65"/>
      <c r="H82" s="51" t="s">
        <v>1149</v>
      </c>
      <c r="I82" s="65"/>
    </row>
    <row r="83" spans="1:9" ht="17" x14ac:dyDescent="0.3">
      <c r="A83" s="3" t="s">
        <v>119</v>
      </c>
      <c r="B83" s="2" t="s">
        <v>81</v>
      </c>
      <c r="C83" s="2" t="s">
        <v>575</v>
      </c>
      <c r="D83" s="24">
        <f>SUMIFS(出入庫!F:F,出入庫!E:E,"入庫",出入庫!B:B,表格2[[#This Row],[料號]])-SUMIFS(出入庫!F:F,出入庫!E:E,"出庫",出入庫!B:B,表格2[[#This Row],[料號]])</f>
        <v>7320</v>
      </c>
      <c r="E83" s="24"/>
      <c r="F83" s="65" t="s">
        <v>1133</v>
      </c>
      <c r="G83" s="65"/>
      <c r="H83" s="51" t="s">
        <v>1149</v>
      </c>
      <c r="I83" s="65"/>
    </row>
    <row r="84" spans="1:9" ht="17" x14ac:dyDescent="0.3">
      <c r="A84" s="3" t="s">
        <v>120</v>
      </c>
      <c r="B84" s="2" t="s">
        <v>81</v>
      </c>
      <c r="C84" s="2" t="s">
        <v>576</v>
      </c>
      <c r="D84" s="24">
        <f>SUMIFS(出入庫!F:F,出入庫!E:E,"入庫",出入庫!B:B,表格2[[#This Row],[料號]])-SUMIFS(出入庫!F:F,出入庫!E:E,"出庫",出入庫!B:B,表格2[[#This Row],[料號]])</f>
        <v>4164</v>
      </c>
      <c r="E84" s="24"/>
      <c r="F84" s="65" t="s">
        <v>1133</v>
      </c>
      <c r="G84" s="65"/>
      <c r="H84" s="51" t="s">
        <v>1149</v>
      </c>
      <c r="I84" s="65"/>
    </row>
    <row r="85" spans="1:9" ht="17" x14ac:dyDescent="0.3">
      <c r="A85" s="3" t="s">
        <v>121</v>
      </c>
      <c r="B85" s="2" t="s">
        <v>81</v>
      </c>
      <c r="C85" s="2" t="s">
        <v>577</v>
      </c>
      <c r="D85" s="24">
        <f>SUMIFS(出入庫!F:F,出入庫!E:E,"入庫",出入庫!B:B,表格2[[#This Row],[料號]])-SUMIFS(出入庫!F:F,出入庫!E:E,"出庫",出入庫!B:B,表格2[[#This Row],[料號]])</f>
        <v>2058</v>
      </c>
      <c r="E85" s="24"/>
      <c r="F85" s="65" t="s">
        <v>1133</v>
      </c>
      <c r="G85" s="65"/>
      <c r="H85" s="51" t="s">
        <v>1149</v>
      </c>
      <c r="I85" s="65"/>
    </row>
    <row r="86" spans="1:9" ht="17" x14ac:dyDescent="0.3">
      <c r="A86" s="3" t="s">
        <v>122</v>
      </c>
      <c r="B86" s="2" t="s">
        <v>81</v>
      </c>
      <c r="C86" s="2" t="s">
        <v>578</v>
      </c>
      <c r="D86" s="24">
        <f>SUMIFS(出入庫!F:F,出入庫!E:E,"入庫",出入庫!B:B,表格2[[#This Row],[料號]])-SUMIFS(出入庫!F:F,出入庫!E:E,"出庫",出入庫!B:B,表格2[[#This Row],[料號]])</f>
        <v>3041</v>
      </c>
      <c r="E86" s="24"/>
      <c r="F86" s="65" t="s">
        <v>1133</v>
      </c>
      <c r="G86" s="65"/>
      <c r="H86" s="51" t="s">
        <v>1149</v>
      </c>
      <c r="I86" s="65"/>
    </row>
    <row r="87" spans="1:9" ht="17" x14ac:dyDescent="0.3">
      <c r="A87" s="3" t="s">
        <v>123</v>
      </c>
      <c r="B87" s="2" t="s">
        <v>81</v>
      </c>
      <c r="C87" s="2" t="s">
        <v>579</v>
      </c>
      <c r="D87" s="24">
        <f>SUMIFS(出入庫!F:F,出入庫!E:E,"入庫",出入庫!B:B,表格2[[#This Row],[料號]])-SUMIFS(出入庫!F:F,出入庫!E:E,"出庫",出入庫!B:B,表格2[[#This Row],[料號]])</f>
        <v>3585</v>
      </c>
      <c r="E87" s="24"/>
      <c r="F87" s="65" t="s">
        <v>1133</v>
      </c>
      <c r="G87" s="65"/>
      <c r="H87" s="51" t="s">
        <v>1149</v>
      </c>
      <c r="I87" s="65"/>
    </row>
    <row r="88" spans="1:9" ht="17" x14ac:dyDescent="0.3">
      <c r="A88" s="3" t="s">
        <v>124</v>
      </c>
      <c r="B88" s="2" t="s">
        <v>81</v>
      </c>
      <c r="C88" s="2" t="s">
        <v>580</v>
      </c>
      <c r="D88" s="24">
        <f>SUMIFS(出入庫!F:F,出入庫!E:E,"入庫",出入庫!B:B,表格2[[#This Row],[料號]])-SUMIFS(出入庫!F:F,出入庫!E:E,"出庫",出入庫!B:B,表格2[[#This Row],[料號]])</f>
        <v>5000</v>
      </c>
      <c r="E88" s="24"/>
      <c r="F88" s="65" t="s">
        <v>1133</v>
      </c>
      <c r="G88" s="65"/>
      <c r="H88" s="51" t="s">
        <v>1149</v>
      </c>
      <c r="I88" s="65"/>
    </row>
    <row r="89" spans="1:9" ht="17" x14ac:dyDescent="0.3">
      <c r="A89" s="3" t="s">
        <v>125</v>
      </c>
      <c r="B89" s="2" t="s">
        <v>81</v>
      </c>
      <c r="C89" s="2" t="s">
        <v>581</v>
      </c>
      <c r="D89" s="24">
        <f>SUMIFS(出入庫!F:F,出入庫!E:E,"入庫",出入庫!B:B,表格2[[#This Row],[料號]])-SUMIFS(出入庫!F:F,出入庫!E:E,"出庫",出入庫!B:B,表格2[[#This Row],[料號]])</f>
        <v>4624</v>
      </c>
      <c r="E89" s="24"/>
      <c r="F89" s="65" t="s">
        <v>1133</v>
      </c>
      <c r="G89" s="65"/>
      <c r="H89" s="51" t="s">
        <v>1149</v>
      </c>
      <c r="I89" s="65"/>
    </row>
    <row r="90" spans="1:9" ht="17" x14ac:dyDescent="0.3">
      <c r="A90" s="3" t="s">
        <v>126</v>
      </c>
      <c r="B90" s="2" t="s">
        <v>81</v>
      </c>
      <c r="C90" s="2" t="s">
        <v>582</v>
      </c>
      <c r="D90" s="24">
        <f>SUMIFS(出入庫!F:F,出入庫!E:E,"入庫",出入庫!B:B,表格2[[#This Row],[料號]])-SUMIFS(出入庫!F:F,出入庫!E:E,"出庫",出入庫!B:B,表格2[[#This Row],[料號]])</f>
        <v>3341</v>
      </c>
      <c r="E90" s="24"/>
      <c r="F90" s="65" t="s">
        <v>1133</v>
      </c>
      <c r="G90" s="65"/>
      <c r="H90" s="51" t="s">
        <v>1149</v>
      </c>
      <c r="I90" s="65"/>
    </row>
    <row r="91" spans="1:9" ht="17" x14ac:dyDescent="0.3">
      <c r="A91" s="3" t="s">
        <v>127</v>
      </c>
      <c r="B91" s="2" t="s">
        <v>81</v>
      </c>
      <c r="C91" s="2" t="s">
        <v>583</v>
      </c>
      <c r="D91" s="24">
        <f>SUMIFS(出入庫!F:F,出入庫!E:E,"入庫",出入庫!B:B,表格2[[#This Row],[料號]])-SUMIFS(出入庫!F:F,出入庫!E:E,"出庫",出入庫!B:B,表格2[[#This Row],[料號]])</f>
        <v>5000</v>
      </c>
      <c r="E91" s="24"/>
      <c r="F91" s="65" t="s">
        <v>1133</v>
      </c>
      <c r="G91" s="65"/>
      <c r="H91" s="51" t="s">
        <v>1149</v>
      </c>
      <c r="I91" s="65"/>
    </row>
    <row r="92" spans="1:9" ht="17" x14ac:dyDescent="0.3">
      <c r="A92" s="3" t="s">
        <v>128</v>
      </c>
      <c r="B92" s="2" t="s">
        <v>81</v>
      </c>
      <c r="C92" s="2" t="s">
        <v>584</v>
      </c>
      <c r="D92" s="24">
        <f>SUMIFS(出入庫!F:F,出入庫!E:E,"入庫",出入庫!B:B,表格2[[#This Row],[料號]])-SUMIFS(出入庫!F:F,出入庫!E:E,"出庫",出入庫!B:B,表格2[[#This Row],[料號]])</f>
        <v>4056</v>
      </c>
      <c r="E92" s="24"/>
      <c r="F92" s="65" t="s">
        <v>1133</v>
      </c>
      <c r="G92" s="65"/>
      <c r="H92" s="51" t="s">
        <v>1149</v>
      </c>
      <c r="I92" s="65"/>
    </row>
    <row r="93" spans="1:9" ht="17" x14ac:dyDescent="0.3">
      <c r="A93" s="3" t="s">
        <v>129</v>
      </c>
      <c r="B93" s="2" t="s">
        <v>81</v>
      </c>
      <c r="C93" s="2" t="s">
        <v>585</v>
      </c>
      <c r="D93" s="24">
        <f>SUMIFS(出入庫!F:F,出入庫!E:E,"入庫",出入庫!B:B,表格2[[#This Row],[料號]])-SUMIFS(出入庫!F:F,出入庫!E:E,"出庫",出入庫!B:B,表格2[[#This Row],[料號]])</f>
        <v>4792</v>
      </c>
      <c r="E93" s="24"/>
      <c r="F93" s="65" t="s">
        <v>1133</v>
      </c>
      <c r="G93" s="65"/>
      <c r="H93" s="51" t="s">
        <v>1149</v>
      </c>
      <c r="I93" s="65"/>
    </row>
    <row r="94" spans="1:9" ht="17" x14ac:dyDescent="0.3">
      <c r="A94" s="3" t="s">
        <v>130</v>
      </c>
      <c r="B94" s="2" t="s">
        <v>81</v>
      </c>
      <c r="C94" s="2" t="s">
        <v>586</v>
      </c>
      <c r="D94" s="24">
        <f>SUMIFS(出入庫!F:F,出入庫!E:E,"入庫",出入庫!B:B,表格2[[#This Row],[料號]])-SUMIFS(出入庫!F:F,出入庫!E:E,"出庫",出入庫!B:B,表格2[[#This Row],[料號]])</f>
        <v>4818</v>
      </c>
      <c r="E94" s="24"/>
      <c r="F94" s="65" t="s">
        <v>1133</v>
      </c>
      <c r="G94" s="65"/>
      <c r="H94" s="51" t="s">
        <v>1149</v>
      </c>
      <c r="I94" s="65"/>
    </row>
    <row r="95" spans="1:9" ht="17" x14ac:dyDescent="0.3">
      <c r="A95" s="3" t="s">
        <v>131</v>
      </c>
      <c r="B95" s="2" t="s">
        <v>81</v>
      </c>
      <c r="C95" s="2" t="s">
        <v>587</v>
      </c>
      <c r="D95" s="24">
        <f>SUMIFS(出入庫!F:F,出入庫!E:E,"入庫",出入庫!B:B,表格2[[#This Row],[料號]])-SUMIFS(出入庫!F:F,出入庫!E:E,"出庫",出入庫!B:B,表格2[[#This Row],[料號]])</f>
        <v>4755</v>
      </c>
      <c r="E95" s="24"/>
      <c r="F95" s="65" t="s">
        <v>1133</v>
      </c>
      <c r="G95" s="65"/>
      <c r="H95" s="51" t="s">
        <v>1149</v>
      </c>
      <c r="I95" s="65"/>
    </row>
    <row r="96" spans="1:9" ht="17" x14ac:dyDescent="0.3">
      <c r="A96" s="3" t="s">
        <v>132</v>
      </c>
      <c r="B96" s="2" t="s">
        <v>81</v>
      </c>
      <c r="C96" s="2" t="s">
        <v>588</v>
      </c>
      <c r="D96" s="24">
        <f>SUMIFS(出入庫!F:F,出入庫!E:E,"入庫",出入庫!B:B,表格2[[#This Row],[料號]])-SUMIFS(出入庫!F:F,出入庫!E:E,"出庫",出入庫!B:B,表格2[[#This Row],[料號]])</f>
        <v>4880</v>
      </c>
      <c r="E96" s="24"/>
      <c r="F96" s="65" t="s">
        <v>1133</v>
      </c>
      <c r="G96" s="65"/>
      <c r="H96" s="51" t="s">
        <v>1149</v>
      </c>
      <c r="I96" s="65"/>
    </row>
    <row r="97" spans="1:9" ht="17" x14ac:dyDescent="0.3">
      <c r="A97" s="3" t="s">
        <v>133</v>
      </c>
      <c r="B97" s="2" t="s">
        <v>81</v>
      </c>
      <c r="C97" s="2" t="s">
        <v>589</v>
      </c>
      <c r="D97" s="24">
        <f>SUMIFS(出入庫!F:F,出入庫!E:E,"入庫",出入庫!B:B,表格2[[#This Row],[料號]])-SUMIFS(出入庫!F:F,出入庫!E:E,"出庫",出入庫!B:B,表格2[[#This Row],[料號]])</f>
        <v>7327</v>
      </c>
      <c r="E97" s="24"/>
      <c r="F97" s="65" t="s">
        <v>1133</v>
      </c>
      <c r="G97" s="65"/>
      <c r="H97" s="51" t="s">
        <v>1149</v>
      </c>
      <c r="I97" s="65"/>
    </row>
    <row r="98" spans="1:9" ht="17" x14ac:dyDescent="0.3">
      <c r="A98" s="3" t="s">
        <v>134</v>
      </c>
      <c r="B98" s="2" t="s">
        <v>81</v>
      </c>
      <c r="C98" s="2" t="s">
        <v>590</v>
      </c>
      <c r="D98" s="24">
        <f>SUMIFS(出入庫!F:F,出入庫!E:E,"入庫",出入庫!B:B,表格2[[#This Row],[料號]])-SUMIFS(出入庫!F:F,出入庫!E:E,"出庫",出入庫!B:B,表格2[[#This Row],[料號]])</f>
        <v>4856</v>
      </c>
      <c r="E98" s="24"/>
      <c r="F98" s="65" t="s">
        <v>1133</v>
      </c>
      <c r="G98" s="65"/>
      <c r="H98" s="51" t="s">
        <v>1149</v>
      </c>
      <c r="I98" s="65"/>
    </row>
    <row r="99" spans="1:9" ht="17" x14ac:dyDescent="0.3">
      <c r="A99" s="3" t="s">
        <v>135</v>
      </c>
      <c r="B99" s="2" t="s">
        <v>81</v>
      </c>
      <c r="C99" s="2" t="s">
        <v>591</v>
      </c>
      <c r="D99" s="24">
        <f>SUMIFS(出入庫!F:F,出入庫!E:E,"入庫",出入庫!B:B,表格2[[#This Row],[料號]])-SUMIFS(出入庫!F:F,出入庫!E:E,"出庫",出入庫!B:B,表格2[[#This Row],[料號]])</f>
        <v>4924</v>
      </c>
      <c r="E99" s="24"/>
      <c r="F99" s="65" t="s">
        <v>1133</v>
      </c>
      <c r="G99" s="65"/>
      <c r="H99" s="51" t="s">
        <v>1149</v>
      </c>
      <c r="I99" s="65"/>
    </row>
    <row r="100" spans="1:9" ht="17" x14ac:dyDescent="0.3">
      <c r="A100" s="3" t="s">
        <v>136</v>
      </c>
      <c r="B100" s="2" t="s">
        <v>81</v>
      </c>
      <c r="C100" s="2" t="s">
        <v>592</v>
      </c>
      <c r="D100" s="24">
        <f>SUMIFS(出入庫!F:F,出入庫!E:E,"入庫",出入庫!B:B,表格2[[#This Row],[料號]])-SUMIFS(出入庫!F:F,出入庫!E:E,"出庫",出入庫!B:B,表格2[[#This Row],[料號]])</f>
        <v>5000</v>
      </c>
      <c r="E100" s="24"/>
      <c r="F100" s="65" t="s">
        <v>1133</v>
      </c>
      <c r="G100" s="65"/>
      <c r="H100" s="51" t="s">
        <v>1149</v>
      </c>
      <c r="I100" s="65"/>
    </row>
    <row r="101" spans="1:9" ht="17" x14ac:dyDescent="0.3">
      <c r="A101" s="3" t="s">
        <v>137</v>
      </c>
      <c r="B101" s="2" t="s">
        <v>81</v>
      </c>
      <c r="C101" s="2" t="s">
        <v>593</v>
      </c>
      <c r="D101" s="24">
        <f>SUMIFS(出入庫!F:F,出入庫!E:E,"入庫",出入庫!B:B,表格2[[#This Row],[料號]])-SUMIFS(出入庫!F:F,出入庫!E:E,"出庫",出入庫!B:B,表格2[[#This Row],[料號]])</f>
        <v>5000</v>
      </c>
      <c r="E101" s="24"/>
      <c r="F101" s="65" t="s">
        <v>1133</v>
      </c>
      <c r="G101" s="65"/>
      <c r="H101" s="51" t="s">
        <v>1149</v>
      </c>
      <c r="I101" s="65"/>
    </row>
    <row r="102" spans="1:9" ht="17" x14ac:dyDescent="0.3">
      <c r="A102" s="3" t="s">
        <v>138</v>
      </c>
      <c r="B102" s="2" t="s">
        <v>81</v>
      </c>
      <c r="C102" s="2" t="s">
        <v>594</v>
      </c>
      <c r="D102" s="24">
        <f>SUMIFS(出入庫!F:F,出入庫!E:E,"入庫",出入庫!B:B,表格2[[#This Row],[料號]])-SUMIFS(出入庫!F:F,出入庫!E:E,"出庫",出入庫!B:B,表格2[[#This Row],[料號]])</f>
        <v>4505</v>
      </c>
      <c r="E102" s="24"/>
      <c r="F102" s="65" t="s">
        <v>1133</v>
      </c>
      <c r="G102" s="65"/>
      <c r="H102" s="51" t="s">
        <v>1149</v>
      </c>
      <c r="I102" s="65"/>
    </row>
    <row r="103" spans="1:9" ht="17" x14ac:dyDescent="0.3">
      <c r="A103" s="3" t="s">
        <v>139</v>
      </c>
      <c r="B103" s="2" t="s">
        <v>81</v>
      </c>
      <c r="C103" s="2" t="s">
        <v>595</v>
      </c>
      <c r="D103" s="24">
        <f>SUMIFS(出入庫!F:F,出入庫!E:E,"入庫",出入庫!B:B,表格2[[#This Row],[料號]])-SUMIFS(出入庫!F:F,出入庫!E:E,"出庫",出入庫!B:B,表格2[[#This Row],[料號]])</f>
        <v>3722</v>
      </c>
      <c r="E103" s="24"/>
      <c r="F103" s="65" t="s">
        <v>1133</v>
      </c>
      <c r="G103" s="65"/>
      <c r="H103" s="51" t="s">
        <v>1149</v>
      </c>
      <c r="I103" s="65"/>
    </row>
    <row r="104" spans="1:9" ht="17" x14ac:dyDescent="0.3">
      <c r="A104" s="3" t="s">
        <v>140</v>
      </c>
      <c r="B104" s="2" t="s">
        <v>81</v>
      </c>
      <c r="C104" s="2" t="s">
        <v>596</v>
      </c>
      <c r="D104" s="24">
        <f>SUMIFS(出入庫!F:F,出入庫!E:E,"入庫",出入庫!B:B,表格2[[#This Row],[料號]])-SUMIFS(出入庫!F:F,出入庫!E:E,"出庫",出入庫!B:B,表格2[[#This Row],[料號]])</f>
        <v>2195</v>
      </c>
      <c r="E104" s="24"/>
      <c r="F104" s="65" t="s">
        <v>1133</v>
      </c>
      <c r="G104" s="65"/>
      <c r="H104" s="51" t="s">
        <v>1149</v>
      </c>
      <c r="I104" s="65"/>
    </row>
    <row r="105" spans="1:9" ht="17" x14ac:dyDescent="0.3">
      <c r="A105" s="3" t="s">
        <v>141</v>
      </c>
      <c r="B105" s="2" t="s">
        <v>81</v>
      </c>
      <c r="C105" s="2" t="s">
        <v>597</v>
      </c>
      <c r="D105" s="24">
        <f>SUMIFS(出入庫!F:F,出入庫!E:E,"入庫",出入庫!B:B,表格2[[#This Row],[料號]])-SUMIFS(出入庫!F:F,出入庫!E:E,"出庫",出入庫!B:B,表格2[[#This Row],[料號]])</f>
        <v>0</v>
      </c>
      <c r="E105" s="24"/>
      <c r="F105" s="65" t="s">
        <v>1133</v>
      </c>
      <c r="G105" s="65"/>
      <c r="H105" s="51" t="s">
        <v>1149</v>
      </c>
      <c r="I105" s="65"/>
    </row>
    <row r="106" spans="1:9" ht="17" x14ac:dyDescent="0.3">
      <c r="A106" s="3" t="s">
        <v>1138</v>
      </c>
      <c r="B106" s="2" t="s">
        <v>81</v>
      </c>
      <c r="C106" s="2" t="s">
        <v>598</v>
      </c>
      <c r="D106" s="24">
        <f>SUMIFS(出入庫!F:F,出入庫!E:E,"入庫",出入庫!B:B,表格2[[#This Row],[料號]])-SUMIFS(出入庫!F:F,出入庫!E:E,"出庫",出入庫!B:B,表格2[[#This Row],[料號]])</f>
        <v>16567</v>
      </c>
      <c r="E106" s="24"/>
      <c r="F106" s="65" t="s">
        <v>1133</v>
      </c>
      <c r="G106" s="65"/>
      <c r="H106" s="51" t="s">
        <v>1149</v>
      </c>
      <c r="I106" s="65"/>
    </row>
    <row r="107" spans="1:9" ht="17" x14ac:dyDescent="0.3">
      <c r="A107" s="3" t="s">
        <v>143</v>
      </c>
      <c r="B107" s="2" t="s">
        <v>81</v>
      </c>
      <c r="C107" s="2" t="s">
        <v>599</v>
      </c>
      <c r="D107" s="24">
        <f>SUMIFS(出入庫!F:F,出入庫!E:E,"入庫",出入庫!B:B,表格2[[#This Row],[料號]])-SUMIFS(出入庫!F:F,出入庫!E:E,"出庫",出入庫!B:B,表格2[[#This Row],[料號]])</f>
        <v>4765</v>
      </c>
      <c r="E107" s="24"/>
      <c r="F107" s="65" t="s">
        <v>1133</v>
      </c>
      <c r="G107" s="65"/>
      <c r="H107" s="51" t="s">
        <v>1149</v>
      </c>
      <c r="I107" s="65"/>
    </row>
    <row r="108" spans="1:9" ht="17" x14ac:dyDescent="0.3">
      <c r="A108" s="3" t="s">
        <v>144</v>
      </c>
      <c r="B108" s="2" t="s">
        <v>81</v>
      </c>
      <c r="C108" s="2" t="s">
        <v>600</v>
      </c>
      <c r="D108" s="24">
        <f>SUMIFS(出入庫!F:F,出入庫!E:E,"入庫",出入庫!B:B,表格2[[#This Row],[料號]])-SUMIFS(出入庫!F:F,出入庫!E:E,"出庫",出入庫!B:B,表格2[[#This Row],[料號]])</f>
        <v>10000</v>
      </c>
      <c r="E108" s="24"/>
      <c r="F108" s="65" t="s">
        <v>1133</v>
      </c>
      <c r="G108" s="65"/>
      <c r="H108" s="51" t="s">
        <v>1149</v>
      </c>
      <c r="I108" s="65"/>
    </row>
    <row r="109" spans="1:9" ht="17" x14ac:dyDescent="0.3">
      <c r="A109" s="3" t="s">
        <v>145</v>
      </c>
      <c r="B109" s="2" t="s">
        <v>81</v>
      </c>
      <c r="C109" s="2" t="s">
        <v>601</v>
      </c>
      <c r="D109" s="24">
        <f>SUMIFS(出入庫!F:F,出入庫!E:E,"入庫",出入庫!B:B,表格2[[#This Row],[料號]])-SUMIFS(出入庫!F:F,出入庫!E:E,"出庫",出入庫!B:B,表格2[[#This Row],[料號]])</f>
        <v>5000</v>
      </c>
      <c r="E109" s="24"/>
      <c r="F109" s="65" t="s">
        <v>1133</v>
      </c>
      <c r="G109" s="65"/>
      <c r="H109" s="51" t="s">
        <v>1149</v>
      </c>
      <c r="I109" s="65"/>
    </row>
    <row r="110" spans="1:9" ht="17" x14ac:dyDescent="0.3">
      <c r="A110" s="3" t="s">
        <v>146</v>
      </c>
      <c r="B110" s="2" t="s">
        <v>81</v>
      </c>
      <c r="C110" s="2" t="s">
        <v>602</v>
      </c>
      <c r="D110" s="24">
        <f>SUMIFS(出入庫!F:F,出入庫!E:E,"入庫",出入庫!B:B,表格2[[#This Row],[料號]])-SUMIFS(出入庫!F:F,出入庫!E:E,"出庫",出入庫!B:B,表格2[[#This Row],[料號]])</f>
        <v>9840</v>
      </c>
      <c r="E110" s="24"/>
      <c r="F110" s="65" t="s">
        <v>1133</v>
      </c>
      <c r="G110" s="65"/>
      <c r="H110" s="51" t="s">
        <v>1149</v>
      </c>
      <c r="I110" s="65"/>
    </row>
    <row r="111" spans="1:9" ht="17" x14ac:dyDescent="0.3">
      <c r="A111" s="3" t="s">
        <v>147</v>
      </c>
      <c r="B111" s="2" t="s">
        <v>81</v>
      </c>
      <c r="C111" s="2" t="s">
        <v>603</v>
      </c>
      <c r="D111" s="24">
        <f>SUMIFS(出入庫!F:F,出入庫!E:E,"入庫",出入庫!B:B,表格2[[#This Row],[料號]])-SUMIFS(出入庫!F:F,出入庫!E:E,"出庫",出入庫!B:B,表格2[[#This Row],[料號]])</f>
        <v>4986</v>
      </c>
      <c r="E111" s="24"/>
      <c r="F111" s="65" t="s">
        <v>1133</v>
      </c>
      <c r="G111" s="65"/>
      <c r="H111" s="51" t="s">
        <v>1149</v>
      </c>
      <c r="I111" s="65"/>
    </row>
    <row r="112" spans="1:9" ht="17" x14ac:dyDescent="0.3">
      <c r="A112" s="3" t="s">
        <v>148</v>
      </c>
      <c r="B112" s="2" t="s">
        <v>81</v>
      </c>
      <c r="C112" s="2" t="s">
        <v>604</v>
      </c>
      <c r="D112" s="24">
        <f>SUMIFS(出入庫!F:F,出入庫!E:E,"入庫",出入庫!B:B,表格2[[#This Row],[料號]])-SUMIFS(出入庫!F:F,出入庫!E:E,"出庫",出入庫!B:B,表格2[[#This Row],[料號]])</f>
        <v>4986</v>
      </c>
      <c r="E112" s="24"/>
      <c r="F112" s="65" t="s">
        <v>1133</v>
      </c>
      <c r="G112" s="65"/>
      <c r="H112" s="51" t="s">
        <v>1149</v>
      </c>
      <c r="I112" s="65"/>
    </row>
    <row r="113" spans="1:9" ht="17" x14ac:dyDescent="0.3">
      <c r="A113" s="3" t="s">
        <v>149</v>
      </c>
      <c r="B113" s="2" t="s">
        <v>81</v>
      </c>
      <c r="C113" s="2" t="s">
        <v>605</v>
      </c>
      <c r="D113" s="24">
        <f>SUMIFS(出入庫!F:F,出入庫!E:E,"入庫",出入庫!B:B,表格2[[#This Row],[料號]])-SUMIFS(出入庫!F:F,出入庫!E:E,"出庫",出入庫!B:B,表格2[[#This Row],[料號]])</f>
        <v>0</v>
      </c>
      <c r="E113" s="24"/>
      <c r="F113" s="65" t="s">
        <v>1133</v>
      </c>
      <c r="G113" s="65"/>
      <c r="H113" s="51" t="s">
        <v>1149</v>
      </c>
      <c r="I113" s="65"/>
    </row>
    <row r="114" spans="1:9" ht="17" x14ac:dyDescent="0.3">
      <c r="A114" s="3" t="s">
        <v>150</v>
      </c>
      <c r="B114" s="2" t="s">
        <v>81</v>
      </c>
      <c r="C114" s="2" t="s">
        <v>606</v>
      </c>
      <c r="D114" s="24">
        <f>SUMIFS(出入庫!F:F,出入庫!E:E,"入庫",出入庫!B:B,表格2[[#This Row],[料號]])-SUMIFS(出入庫!F:F,出入庫!E:E,"出庫",出入庫!B:B,表格2[[#This Row],[料號]])</f>
        <v>9865</v>
      </c>
      <c r="E114" s="24"/>
      <c r="F114" s="65" t="s">
        <v>1133</v>
      </c>
      <c r="G114" s="65"/>
      <c r="H114" s="51" t="s">
        <v>1149</v>
      </c>
      <c r="I114" s="65"/>
    </row>
    <row r="115" spans="1:9" ht="17" x14ac:dyDescent="0.3">
      <c r="A115" s="3" t="s">
        <v>151</v>
      </c>
      <c r="B115" s="2" t="s">
        <v>81</v>
      </c>
      <c r="C115" s="2" t="s">
        <v>607</v>
      </c>
      <c r="D115" s="24">
        <f>SUMIFS(出入庫!F:F,出入庫!E:E,"入庫",出入庫!B:B,表格2[[#This Row],[料號]])-SUMIFS(出入庫!F:F,出入庫!E:E,"出庫",出入庫!B:B,表格2[[#This Row],[料號]])</f>
        <v>4900</v>
      </c>
      <c r="E115" s="24"/>
      <c r="F115" s="65" t="s">
        <v>1133</v>
      </c>
      <c r="G115" s="65"/>
      <c r="H115" s="51" t="s">
        <v>1149</v>
      </c>
      <c r="I115" s="65"/>
    </row>
    <row r="116" spans="1:9" ht="17" x14ac:dyDescent="0.3">
      <c r="A116" s="3" t="s">
        <v>152</v>
      </c>
      <c r="B116" s="2" t="s">
        <v>81</v>
      </c>
      <c r="C116" s="2" t="s">
        <v>608</v>
      </c>
      <c r="D116" s="24">
        <f>SUMIFS(出入庫!F:F,出入庫!E:E,"入庫",出入庫!B:B,表格2[[#This Row],[料號]])-SUMIFS(出入庫!F:F,出入庫!E:E,"出庫",出入庫!B:B,表格2[[#This Row],[料號]])</f>
        <v>0</v>
      </c>
      <c r="E116" s="24"/>
      <c r="F116" s="65" t="s">
        <v>1133</v>
      </c>
      <c r="G116" s="65"/>
      <c r="H116" s="51" t="s">
        <v>1149</v>
      </c>
      <c r="I116" s="65"/>
    </row>
    <row r="117" spans="1:9" ht="17" x14ac:dyDescent="0.3">
      <c r="A117" s="3" t="s">
        <v>153</v>
      </c>
      <c r="B117" s="2" t="s">
        <v>81</v>
      </c>
      <c r="C117" s="2" t="s">
        <v>609</v>
      </c>
      <c r="D117" s="24">
        <f>SUMIFS(出入庫!F:F,出入庫!E:E,"入庫",出入庫!B:B,表格2[[#This Row],[料號]])-SUMIFS(出入庫!F:F,出入庫!E:E,"出庫",出入庫!B:B,表格2[[#This Row],[料號]])</f>
        <v>0</v>
      </c>
      <c r="E117" s="24"/>
      <c r="F117" s="65" t="s">
        <v>1133</v>
      </c>
      <c r="G117" s="65"/>
      <c r="H117" s="51" t="s">
        <v>1149</v>
      </c>
      <c r="I117" s="65"/>
    </row>
    <row r="118" spans="1:9" ht="17" x14ac:dyDescent="0.3">
      <c r="A118" s="3" t="s">
        <v>154</v>
      </c>
      <c r="B118" s="2" t="s">
        <v>81</v>
      </c>
      <c r="C118" s="2" t="s">
        <v>610</v>
      </c>
      <c r="D118" s="24">
        <f>SUMIFS(出入庫!F:F,出入庫!E:E,"入庫",出入庫!B:B,表格2[[#This Row],[料號]])-SUMIFS(出入庫!F:F,出入庫!E:E,"出庫",出入庫!B:B,表格2[[#This Row],[料號]])</f>
        <v>0</v>
      </c>
      <c r="E118" s="24"/>
      <c r="F118" s="65" t="s">
        <v>1133</v>
      </c>
      <c r="G118" s="65"/>
      <c r="H118" s="51" t="s">
        <v>1149</v>
      </c>
      <c r="I118" s="65"/>
    </row>
    <row r="119" spans="1:9" ht="17" x14ac:dyDescent="0.3">
      <c r="A119" s="3" t="s">
        <v>155</v>
      </c>
      <c r="B119" s="2" t="s">
        <v>81</v>
      </c>
      <c r="C119" s="2" t="s">
        <v>611</v>
      </c>
      <c r="D119" s="24">
        <f>SUMIFS(出入庫!F:F,出入庫!E:E,"入庫",出入庫!B:B,表格2[[#This Row],[料號]])-SUMIFS(出入庫!F:F,出入庫!E:E,"出庫",出入庫!B:B,表格2[[#This Row],[料號]])</f>
        <v>0</v>
      </c>
      <c r="E119" s="24"/>
      <c r="F119" s="65" t="s">
        <v>1133</v>
      </c>
      <c r="G119" s="65"/>
      <c r="H119" s="51" t="s">
        <v>1149</v>
      </c>
      <c r="I119" s="65"/>
    </row>
    <row r="120" spans="1:9" ht="17" x14ac:dyDescent="0.3">
      <c r="A120" s="3" t="s">
        <v>156</v>
      </c>
      <c r="B120" s="2" t="s">
        <v>81</v>
      </c>
      <c r="C120" s="2" t="s">
        <v>612</v>
      </c>
      <c r="D120" s="24">
        <f>SUMIFS(出入庫!F:F,出入庫!E:E,"入庫",出入庫!B:B,表格2[[#This Row],[料號]])-SUMIFS(出入庫!F:F,出入庫!E:E,"出庫",出入庫!B:B,表格2[[#This Row],[料號]])</f>
        <v>0</v>
      </c>
      <c r="E120" s="24"/>
      <c r="F120" s="65" t="s">
        <v>1133</v>
      </c>
      <c r="G120" s="65"/>
      <c r="H120" s="51" t="s">
        <v>1149</v>
      </c>
      <c r="I120" s="65"/>
    </row>
    <row r="121" spans="1:9" ht="17" x14ac:dyDescent="0.3">
      <c r="A121" s="3" t="s">
        <v>157</v>
      </c>
      <c r="B121" s="2" t="s">
        <v>81</v>
      </c>
      <c r="C121" s="2" t="s">
        <v>613</v>
      </c>
      <c r="D121" s="24">
        <f>SUMIFS(出入庫!F:F,出入庫!E:E,"入庫",出入庫!B:B,表格2[[#This Row],[料號]])-SUMIFS(出入庫!F:F,出入庫!E:E,"出庫",出入庫!B:B,表格2[[#This Row],[料號]])</f>
        <v>0</v>
      </c>
      <c r="E121" s="24"/>
      <c r="F121" s="65" t="s">
        <v>1133</v>
      </c>
      <c r="G121" s="65"/>
      <c r="H121" s="51" t="s">
        <v>1149</v>
      </c>
      <c r="I121" s="65"/>
    </row>
    <row r="122" spans="1:9" ht="17" x14ac:dyDescent="0.3">
      <c r="A122" s="3" t="s">
        <v>158</v>
      </c>
      <c r="B122" s="2" t="s">
        <v>81</v>
      </c>
      <c r="C122" s="2" t="s">
        <v>601</v>
      </c>
      <c r="D122" s="24">
        <f>SUMIFS(出入庫!F:F,出入庫!E:E,"入庫",出入庫!B:B,表格2[[#This Row],[料號]])-SUMIFS(出入庫!F:F,出入庫!E:E,"出庫",出入庫!B:B,表格2[[#This Row],[料號]])</f>
        <v>0</v>
      </c>
      <c r="E122" s="24"/>
      <c r="F122" s="65" t="s">
        <v>1133</v>
      </c>
      <c r="G122" s="65"/>
      <c r="H122" s="51" t="s">
        <v>1149</v>
      </c>
      <c r="I122" s="65"/>
    </row>
    <row r="123" spans="1:9" ht="17" x14ac:dyDescent="0.3">
      <c r="A123" s="3" t="s">
        <v>159</v>
      </c>
      <c r="B123" s="2" t="s">
        <v>81</v>
      </c>
      <c r="C123" s="2" t="s">
        <v>614</v>
      </c>
      <c r="D123" s="24">
        <f>SUMIFS(出入庫!F:F,出入庫!E:E,"入庫",出入庫!B:B,表格2[[#This Row],[料號]])-SUMIFS(出入庫!F:F,出入庫!E:E,"出庫",出入庫!B:B,表格2[[#This Row],[料號]])</f>
        <v>5000</v>
      </c>
      <c r="E123" s="24"/>
      <c r="F123" s="65" t="s">
        <v>1133</v>
      </c>
      <c r="G123" s="65"/>
      <c r="H123" s="51" t="s">
        <v>1149</v>
      </c>
      <c r="I123" s="65"/>
    </row>
    <row r="124" spans="1:9" ht="17" x14ac:dyDescent="0.3">
      <c r="A124" s="3" t="s">
        <v>160</v>
      </c>
      <c r="B124" s="2" t="s">
        <v>81</v>
      </c>
      <c r="C124" s="2" t="s">
        <v>615</v>
      </c>
      <c r="D124" s="24">
        <f>SUMIFS(出入庫!F:F,出入庫!E:E,"入庫",出入庫!B:B,表格2[[#This Row],[料號]])-SUMIFS(出入庫!F:F,出入庫!E:E,"出庫",出入庫!B:B,表格2[[#This Row],[料號]])</f>
        <v>4980</v>
      </c>
      <c r="E124" s="24"/>
      <c r="F124" s="65" t="s">
        <v>1133</v>
      </c>
      <c r="G124" s="65"/>
      <c r="H124" s="51" t="s">
        <v>1149</v>
      </c>
      <c r="I124" s="65"/>
    </row>
    <row r="125" spans="1:9" ht="17" x14ac:dyDescent="0.3">
      <c r="A125" s="3" t="s">
        <v>161</v>
      </c>
      <c r="B125" s="2" t="s">
        <v>81</v>
      </c>
      <c r="C125" s="2" t="s">
        <v>616</v>
      </c>
      <c r="D125" s="24">
        <f>SUMIFS(出入庫!F:F,出入庫!E:E,"入庫",出入庫!B:B,表格2[[#This Row],[料號]])-SUMIFS(出入庫!F:F,出入庫!E:E,"出庫",出入庫!B:B,表格2[[#This Row],[料號]])</f>
        <v>5000</v>
      </c>
      <c r="E125" s="24"/>
      <c r="F125" s="65" t="s">
        <v>1133</v>
      </c>
      <c r="G125" s="65"/>
      <c r="H125" s="51" t="s">
        <v>1149</v>
      </c>
      <c r="I125" s="65"/>
    </row>
    <row r="126" spans="1:9" ht="17" x14ac:dyDescent="0.3">
      <c r="A126" s="3" t="s">
        <v>162</v>
      </c>
      <c r="B126" s="2" t="s">
        <v>81</v>
      </c>
      <c r="C126" s="2" t="s">
        <v>617</v>
      </c>
      <c r="D126" s="24">
        <f>SUMIFS(出入庫!F:F,出入庫!E:E,"入庫",出入庫!B:B,表格2[[#This Row],[料號]])-SUMIFS(出入庫!F:F,出入庫!E:E,"出庫",出入庫!B:B,表格2[[#This Row],[料號]])</f>
        <v>4875</v>
      </c>
      <c r="E126" s="24"/>
      <c r="F126" s="65" t="s">
        <v>1133</v>
      </c>
      <c r="G126" s="65"/>
      <c r="H126" s="51" t="s">
        <v>1149</v>
      </c>
      <c r="I126" s="65"/>
    </row>
    <row r="127" spans="1:9" ht="15.5" x14ac:dyDescent="0.3">
      <c r="A127" s="3" t="s">
        <v>1111</v>
      </c>
      <c r="B127" s="2" t="s">
        <v>81</v>
      </c>
      <c r="C127" s="28" t="s">
        <v>1112</v>
      </c>
      <c r="D127" s="29">
        <f>SUMIFS(出入庫!F:F,出入庫!E:E,"入庫",出入庫!B:B,表格2[[#This Row],[料號]])-SUMIFS(出入庫!F:F,出入庫!E:E,"出庫",出入庫!B:B,表格2[[#This Row],[料號]])</f>
        <v>0</v>
      </c>
      <c r="E127" s="66"/>
      <c r="F127" s="65" t="s">
        <v>1133</v>
      </c>
      <c r="G127" s="65"/>
      <c r="H127" s="51" t="s">
        <v>1149</v>
      </c>
      <c r="I127" s="65"/>
    </row>
    <row r="128" spans="1:9" ht="17" x14ac:dyDescent="0.3">
      <c r="A128" s="3" t="s">
        <v>1113</v>
      </c>
      <c r="B128" s="2" t="s">
        <v>81</v>
      </c>
      <c r="C128" s="28" t="s">
        <v>1115</v>
      </c>
      <c r="D128" s="29">
        <f>SUMIFS(出入庫!F:F,出入庫!E:E,"入庫",出入庫!B:B,表格2[[#This Row],[料號]])-SUMIFS(出入庫!F:F,出入庫!E:E,"出庫",出入庫!B:B,表格2[[#This Row],[料號]])</f>
        <v>0</v>
      </c>
      <c r="E128" s="66"/>
      <c r="F128" s="65" t="s">
        <v>1133</v>
      </c>
      <c r="G128" s="65"/>
      <c r="H128" s="51" t="s">
        <v>1149</v>
      </c>
      <c r="I128" s="65"/>
    </row>
    <row r="129" spans="1:9" ht="17" x14ac:dyDescent="0.3">
      <c r="A129" s="3" t="s">
        <v>1114</v>
      </c>
      <c r="B129" s="2" t="s">
        <v>81</v>
      </c>
      <c r="C129" s="28" t="s">
        <v>1116</v>
      </c>
      <c r="D129" s="29">
        <f>SUMIFS(出入庫!F:F,出入庫!E:E,"入庫",出入庫!B:B,表格2[[#This Row],[料號]])-SUMIFS(出入庫!F:F,出入庫!E:E,"出庫",出入庫!B:B,表格2[[#This Row],[料號]])</f>
        <v>0</v>
      </c>
      <c r="E129" s="66"/>
      <c r="F129" s="65" t="s">
        <v>1133</v>
      </c>
      <c r="G129" s="65"/>
      <c r="H129" s="51" t="s">
        <v>1149</v>
      </c>
      <c r="I129" s="65"/>
    </row>
    <row r="130" spans="1:9" ht="17" x14ac:dyDescent="0.3">
      <c r="A130" s="3" t="s">
        <v>163</v>
      </c>
      <c r="B130" s="2" t="s">
        <v>164</v>
      </c>
      <c r="C130" s="2" t="s">
        <v>618</v>
      </c>
      <c r="D130" s="24">
        <f>SUMIFS(出入庫!F:F,出入庫!E:E,"入庫",出入庫!B:B,表格2[[#This Row],[料號]])-SUMIFS(出入庫!F:F,出入庫!E:E,"出庫",出入庫!B:B,表格2[[#This Row],[料號]])</f>
        <v>0</v>
      </c>
      <c r="E130" s="24"/>
      <c r="F130" s="65" t="s">
        <v>1133</v>
      </c>
      <c r="G130" s="65"/>
      <c r="H130" s="51" t="s">
        <v>1149</v>
      </c>
      <c r="I130" s="65"/>
    </row>
    <row r="131" spans="1:9" ht="17" x14ac:dyDescent="0.3">
      <c r="A131" s="3" t="s">
        <v>165</v>
      </c>
      <c r="B131" s="2" t="s">
        <v>164</v>
      </c>
      <c r="C131" s="2" t="s">
        <v>619</v>
      </c>
      <c r="D131" s="24">
        <f>SUMIFS(出入庫!F:F,出入庫!E:E,"入庫",出入庫!B:B,表格2[[#This Row],[料號]])-SUMIFS(出入庫!F:F,出入庫!E:E,"出庫",出入庫!B:B,表格2[[#This Row],[料號]])</f>
        <v>0</v>
      </c>
      <c r="E131" s="24"/>
      <c r="F131" s="65" t="s">
        <v>1133</v>
      </c>
      <c r="G131" s="65"/>
      <c r="H131" s="51" t="s">
        <v>1149</v>
      </c>
      <c r="I131" s="65"/>
    </row>
    <row r="132" spans="1:9" ht="17" x14ac:dyDescent="0.3">
      <c r="A132" s="3" t="s">
        <v>166</v>
      </c>
      <c r="B132" s="2" t="s">
        <v>164</v>
      </c>
      <c r="C132" s="2" t="s">
        <v>620</v>
      </c>
      <c r="D132" s="24">
        <f>SUMIFS(出入庫!F:F,出入庫!E:E,"入庫",出入庫!B:B,表格2[[#This Row],[料號]])-SUMIFS(出入庫!F:F,出入庫!E:E,"出庫",出入庫!B:B,表格2[[#This Row],[料號]])</f>
        <v>0</v>
      </c>
      <c r="E132" s="24"/>
      <c r="F132" s="65" t="s">
        <v>1133</v>
      </c>
      <c r="G132" s="65"/>
      <c r="H132" s="51" t="s">
        <v>1149</v>
      </c>
      <c r="I132" s="65"/>
    </row>
    <row r="133" spans="1:9" ht="17" x14ac:dyDescent="0.3">
      <c r="A133" s="3" t="s">
        <v>167</v>
      </c>
      <c r="B133" s="2" t="s">
        <v>164</v>
      </c>
      <c r="C133" s="2" t="s">
        <v>621</v>
      </c>
      <c r="D133" s="24">
        <f>SUMIFS(出入庫!F:F,出入庫!E:E,"入庫",出入庫!B:B,表格2[[#This Row],[料號]])-SUMIFS(出入庫!F:F,出入庫!E:E,"出庫",出入庫!B:B,表格2[[#This Row],[料號]])</f>
        <v>0</v>
      </c>
      <c r="E133" s="24"/>
      <c r="F133" s="65" t="s">
        <v>1133</v>
      </c>
      <c r="G133" s="65"/>
      <c r="H133" s="51" t="s">
        <v>1149</v>
      </c>
      <c r="I133" s="65"/>
    </row>
    <row r="134" spans="1:9" ht="17" x14ac:dyDescent="0.3">
      <c r="A134" s="3" t="s">
        <v>168</v>
      </c>
      <c r="B134" s="2" t="s">
        <v>164</v>
      </c>
      <c r="C134" s="2" t="s">
        <v>622</v>
      </c>
      <c r="D134" s="24">
        <f>SUMIFS(出入庫!F:F,出入庫!E:E,"入庫",出入庫!B:B,表格2[[#This Row],[料號]])-SUMIFS(出入庫!F:F,出入庫!E:E,"出庫",出入庫!B:B,表格2[[#This Row],[料號]])</f>
        <v>0</v>
      </c>
      <c r="E134" s="24"/>
      <c r="F134" s="65" t="s">
        <v>1133</v>
      </c>
      <c r="G134" s="65"/>
      <c r="H134" s="51" t="s">
        <v>1149</v>
      </c>
      <c r="I134" s="65"/>
    </row>
    <row r="135" spans="1:9" ht="17" x14ac:dyDescent="0.3">
      <c r="A135" s="3" t="s">
        <v>169</v>
      </c>
      <c r="B135" s="2" t="s">
        <v>164</v>
      </c>
      <c r="C135" s="2" t="s">
        <v>623</v>
      </c>
      <c r="D135" s="24">
        <f>SUMIFS(出入庫!F:F,出入庫!E:E,"入庫",出入庫!B:B,表格2[[#This Row],[料號]])-SUMIFS(出入庫!F:F,出入庫!E:E,"出庫",出入庫!B:B,表格2[[#This Row],[料號]])</f>
        <v>0</v>
      </c>
      <c r="E135" s="24"/>
      <c r="F135" s="65" t="s">
        <v>1133</v>
      </c>
      <c r="G135" s="65"/>
      <c r="H135" s="51" t="s">
        <v>1149</v>
      </c>
      <c r="I135" s="65"/>
    </row>
    <row r="136" spans="1:9" ht="17" x14ac:dyDescent="0.3">
      <c r="A136" s="3" t="s">
        <v>170</v>
      </c>
      <c r="B136" s="2" t="s">
        <v>164</v>
      </c>
      <c r="C136" s="2" t="s">
        <v>624</v>
      </c>
      <c r="D136" s="24">
        <f>SUMIFS(出入庫!F:F,出入庫!E:E,"入庫",出入庫!B:B,表格2[[#This Row],[料號]])-SUMIFS(出入庫!F:F,出入庫!E:E,"出庫",出入庫!B:B,表格2[[#This Row],[料號]])</f>
        <v>0</v>
      </c>
      <c r="E136" s="24"/>
      <c r="F136" s="65" t="s">
        <v>1133</v>
      </c>
      <c r="G136" s="65"/>
      <c r="H136" s="51" t="s">
        <v>1149</v>
      </c>
      <c r="I136" s="65"/>
    </row>
    <row r="137" spans="1:9" ht="17" x14ac:dyDescent="0.3">
      <c r="A137" s="3" t="s">
        <v>171</v>
      </c>
      <c r="B137" s="2" t="s">
        <v>164</v>
      </c>
      <c r="C137" s="2" t="s">
        <v>625</v>
      </c>
      <c r="D137" s="24">
        <f>SUMIFS(出入庫!F:F,出入庫!E:E,"入庫",出入庫!B:B,表格2[[#This Row],[料號]])-SUMIFS(出入庫!F:F,出入庫!E:E,"出庫",出入庫!B:B,表格2[[#This Row],[料號]])</f>
        <v>0</v>
      </c>
      <c r="E137" s="24"/>
      <c r="F137" s="65" t="s">
        <v>1133</v>
      </c>
      <c r="G137" s="65"/>
      <c r="H137" s="51" t="s">
        <v>1149</v>
      </c>
      <c r="I137" s="65"/>
    </row>
    <row r="138" spans="1:9" ht="17" x14ac:dyDescent="0.3">
      <c r="A138" s="3" t="s">
        <v>172</v>
      </c>
      <c r="B138" s="2" t="s">
        <v>164</v>
      </c>
      <c r="C138" s="2" t="s">
        <v>626</v>
      </c>
      <c r="D138" s="24">
        <f>SUMIFS(出入庫!F:F,出入庫!E:E,"入庫",出入庫!B:B,表格2[[#This Row],[料號]])-SUMIFS(出入庫!F:F,出入庫!E:E,"出庫",出入庫!B:B,表格2[[#This Row],[料號]])</f>
        <v>0</v>
      </c>
      <c r="E138" s="24"/>
      <c r="F138" s="65" t="s">
        <v>1133</v>
      </c>
      <c r="G138" s="65"/>
      <c r="H138" s="51" t="s">
        <v>1149</v>
      </c>
      <c r="I138" s="65"/>
    </row>
    <row r="139" spans="1:9" ht="17" x14ac:dyDescent="0.3">
      <c r="A139" s="3" t="s">
        <v>173</v>
      </c>
      <c r="B139" s="2" t="s">
        <v>164</v>
      </c>
      <c r="C139" s="2" t="s">
        <v>627</v>
      </c>
      <c r="D139" s="24">
        <f>SUMIFS(出入庫!F:F,出入庫!E:E,"入庫",出入庫!B:B,表格2[[#This Row],[料號]])-SUMIFS(出入庫!F:F,出入庫!E:E,"出庫",出入庫!B:B,表格2[[#This Row],[料號]])</f>
        <v>0</v>
      </c>
      <c r="E139" s="24"/>
      <c r="F139" s="65" t="s">
        <v>1133</v>
      </c>
      <c r="G139" s="65"/>
      <c r="H139" s="51" t="s">
        <v>1149</v>
      </c>
      <c r="I139" s="65"/>
    </row>
    <row r="140" spans="1:9" ht="17" x14ac:dyDescent="0.3">
      <c r="A140" s="3" t="s">
        <v>174</v>
      </c>
      <c r="B140" s="2" t="s">
        <v>164</v>
      </c>
      <c r="C140" s="2" t="s">
        <v>628</v>
      </c>
      <c r="D140" s="24">
        <f>SUMIFS(出入庫!F:F,出入庫!E:E,"入庫",出入庫!B:B,表格2[[#This Row],[料號]])-SUMIFS(出入庫!F:F,出入庫!E:E,"出庫",出入庫!B:B,表格2[[#This Row],[料號]])</f>
        <v>0</v>
      </c>
      <c r="E140" s="24"/>
      <c r="F140" s="65" t="s">
        <v>1133</v>
      </c>
      <c r="G140" s="65"/>
      <c r="H140" s="51" t="s">
        <v>1149</v>
      </c>
      <c r="I140" s="65"/>
    </row>
    <row r="141" spans="1:9" ht="17" x14ac:dyDescent="0.3">
      <c r="A141" s="3" t="s">
        <v>175</v>
      </c>
      <c r="B141" s="2" t="s">
        <v>164</v>
      </c>
      <c r="C141" s="2" t="s">
        <v>629</v>
      </c>
      <c r="D141" s="24">
        <f>SUMIFS(出入庫!F:F,出入庫!E:E,"入庫",出入庫!B:B,表格2[[#This Row],[料號]])-SUMIFS(出入庫!F:F,出入庫!E:E,"出庫",出入庫!B:B,表格2[[#This Row],[料號]])</f>
        <v>0</v>
      </c>
      <c r="E141" s="24"/>
      <c r="F141" s="65" t="s">
        <v>1133</v>
      </c>
      <c r="G141" s="65"/>
      <c r="H141" s="51" t="s">
        <v>1149</v>
      </c>
      <c r="I141" s="65"/>
    </row>
    <row r="142" spans="1:9" ht="17" x14ac:dyDescent="0.3">
      <c r="A142" s="3" t="s">
        <v>176</v>
      </c>
      <c r="B142" s="2" t="s">
        <v>164</v>
      </c>
      <c r="C142" s="2" t="s">
        <v>630</v>
      </c>
      <c r="D142" s="24">
        <f>SUMIFS(出入庫!F:F,出入庫!E:E,"入庫",出入庫!B:B,表格2[[#This Row],[料號]])-SUMIFS(出入庫!F:F,出入庫!E:E,"出庫",出入庫!B:B,表格2[[#This Row],[料號]])</f>
        <v>0</v>
      </c>
      <c r="E142" s="24"/>
      <c r="F142" s="65" t="s">
        <v>1133</v>
      </c>
      <c r="G142" s="65"/>
      <c r="H142" s="51" t="s">
        <v>1149</v>
      </c>
      <c r="I142" s="65"/>
    </row>
    <row r="143" spans="1:9" ht="17" x14ac:dyDescent="0.3">
      <c r="A143" s="3" t="s">
        <v>177</v>
      </c>
      <c r="B143" s="2" t="s">
        <v>164</v>
      </c>
      <c r="C143" s="2" t="s">
        <v>631</v>
      </c>
      <c r="D143" s="24">
        <f>SUMIFS(出入庫!F:F,出入庫!E:E,"入庫",出入庫!B:B,表格2[[#This Row],[料號]])-SUMIFS(出入庫!F:F,出入庫!E:E,"出庫",出入庫!B:B,表格2[[#This Row],[料號]])</f>
        <v>0</v>
      </c>
      <c r="E143" s="24"/>
      <c r="F143" s="65" t="s">
        <v>1133</v>
      </c>
      <c r="G143" s="65"/>
      <c r="H143" s="51" t="s">
        <v>1149</v>
      </c>
      <c r="I143" s="65"/>
    </row>
    <row r="144" spans="1:9" ht="17" x14ac:dyDescent="0.3">
      <c r="A144" s="3" t="s">
        <v>178</v>
      </c>
      <c r="B144" s="2" t="s">
        <v>164</v>
      </c>
      <c r="C144" s="2" t="s">
        <v>632</v>
      </c>
      <c r="D144" s="24">
        <f>SUMIFS(出入庫!F:F,出入庫!E:E,"入庫",出入庫!B:B,表格2[[#This Row],[料號]])-SUMIFS(出入庫!F:F,出入庫!E:E,"出庫",出入庫!B:B,表格2[[#This Row],[料號]])</f>
        <v>0</v>
      </c>
      <c r="E144" s="24"/>
      <c r="F144" s="65" t="s">
        <v>1133</v>
      </c>
      <c r="G144" s="65"/>
      <c r="H144" s="51" t="s">
        <v>1149</v>
      </c>
      <c r="I144" s="65"/>
    </row>
    <row r="145" spans="1:9" ht="17" x14ac:dyDescent="0.3">
      <c r="A145" s="3" t="s">
        <v>179</v>
      </c>
      <c r="B145" s="2" t="s">
        <v>180</v>
      </c>
      <c r="C145" s="2" t="s">
        <v>633</v>
      </c>
      <c r="D145" s="24">
        <f>SUMIFS(出入庫!F:F,出入庫!E:E,"入庫",出入庫!B:B,表格2[[#This Row],[料號]])-SUMIFS(出入庫!F:F,出入庫!E:E,"出庫",出入庫!B:B,表格2[[#This Row],[料號]])</f>
        <v>0</v>
      </c>
      <c r="E145" s="24"/>
      <c r="F145" s="65" t="s">
        <v>1133</v>
      </c>
      <c r="G145" s="65"/>
      <c r="H145" s="51" t="s">
        <v>1149</v>
      </c>
      <c r="I145" s="65"/>
    </row>
    <row r="146" spans="1:9" ht="17" x14ac:dyDescent="0.3">
      <c r="A146" s="3" t="s">
        <v>181</v>
      </c>
      <c r="B146" s="2" t="s">
        <v>180</v>
      </c>
      <c r="C146" s="2" t="s">
        <v>634</v>
      </c>
      <c r="D146" s="24">
        <f>SUMIFS(出入庫!F:F,出入庫!E:E,"入庫",出入庫!B:B,表格2[[#This Row],[料號]])-SUMIFS(出入庫!F:F,出入庫!E:E,"出庫",出入庫!B:B,表格2[[#This Row],[料號]])</f>
        <v>266</v>
      </c>
      <c r="E146" s="24"/>
      <c r="F146" s="65" t="s">
        <v>1133</v>
      </c>
      <c r="G146" s="65"/>
      <c r="H146" s="51" t="s">
        <v>1149</v>
      </c>
      <c r="I146" s="65"/>
    </row>
    <row r="147" spans="1:9" ht="17" x14ac:dyDescent="0.3">
      <c r="A147" s="3" t="s">
        <v>182</v>
      </c>
      <c r="B147" s="2" t="s">
        <v>180</v>
      </c>
      <c r="C147" s="2" t="s">
        <v>635</v>
      </c>
      <c r="D147" s="24">
        <f>SUMIFS(出入庫!F:F,出入庫!E:E,"入庫",出入庫!B:B,表格2[[#This Row],[料號]])-SUMIFS(出入庫!F:F,出入庫!E:E,"出庫",出入庫!B:B,表格2[[#This Row],[料號]])</f>
        <v>0</v>
      </c>
      <c r="E147" s="24"/>
      <c r="F147" s="65" t="s">
        <v>1133</v>
      </c>
      <c r="G147" s="65"/>
      <c r="H147" s="51" t="s">
        <v>1149</v>
      </c>
      <c r="I147" s="65"/>
    </row>
    <row r="148" spans="1:9" ht="17" x14ac:dyDescent="0.3">
      <c r="A148" s="3" t="s">
        <v>183</v>
      </c>
      <c r="B148" s="2" t="s">
        <v>180</v>
      </c>
      <c r="C148" s="2" t="s">
        <v>636</v>
      </c>
      <c r="D148" s="24">
        <f>SUMIFS(出入庫!F:F,出入庫!E:E,"入庫",出入庫!B:B,表格2[[#This Row],[料號]])-SUMIFS(出入庫!F:F,出入庫!E:E,"出庫",出入庫!B:B,表格2[[#This Row],[料號]])</f>
        <v>5000</v>
      </c>
      <c r="E148" s="24"/>
      <c r="F148" s="65" t="s">
        <v>1133</v>
      </c>
      <c r="G148" s="65"/>
      <c r="H148" s="51" t="s">
        <v>1149</v>
      </c>
      <c r="I148" s="65"/>
    </row>
    <row r="149" spans="1:9" ht="17" x14ac:dyDescent="0.3">
      <c r="A149" s="3" t="s">
        <v>184</v>
      </c>
      <c r="B149" s="2" t="s">
        <v>180</v>
      </c>
      <c r="C149" s="2" t="s">
        <v>637</v>
      </c>
      <c r="D149" s="24">
        <f>SUMIFS(出入庫!F:F,出入庫!E:E,"入庫",出入庫!B:B,表格2[[#This Row],[料號]])-SUMIFS(出入庫!F:F,出入庫!E:E,"出庫",出入庫!B:B,表格2[[#This Row],[料號]])</f>
        <v>5000</v>
      </c>
      <c r="E149" s="24"/>
      <c r="F149" s="65" t="s">
        <v>1133</v>
      </c>
      <c r="G149" s="65"/>
      <c r="H149" s="51" t="s">
        <v>1149</v>
      </c>
      <c r="I149" s="65"/>
    </row>
    <row r="150" spans="1:9" ht="17" x14ac:dyDescent="0.3">
      <c r="A150" s="3" t="s">
        <v>185</v>
      </c>
      <c r="B150" s="2" t="s">
        <v>180</v>
      </c>
      <c r="C150" s="2" t="s">
        <v>638</v>
      </c>
      <c r="D150" s="24">
        <f>SUMIFS(出入庫!F:F,出入庫!E:E,"入庫",出入庫!B:B,表格2[[#This Row],[料號]])-SUMIFS(出入庫!F:F,出入庫!E:E,"出庫",出入庫!B:B,表格2[[#This Row],[料號]])</f>
        <v>448</v>
      </c>
      <c r="E150" s="24"/>
      <c r="F150" s="65" t="s">
        <v>1133</v>
      </c>
      <c r="G150" s="65"/>
      <c r="H150" s="51" t="s">
        <v>1149</v>
      </c>
      <c r="I150" s="65"/>
    </row>
    <row r="151" spans="1:9" ht="17" x14ac:dyDescent="0.3">
      <c r="A151" s="3" t="s">
        <v>186</v>
      </c>
      <c r="B151" s="2" t="s">
        <v>180</v>
      </c>
      <c r="C151" s="2" t="s">
        <v>639</v>
      </c>
      <c r="D151" s="24">
        <f>SUMIFS(出入庫!F:F,出入庫!E:E,"入庫",出入庫!B:B,表格2[[#This Row],[料號]])-SUMIFS(出入庫!F:F,出入庫!E:E,"出庫",出入庫!B:B,表格2[[#This Row],[料號]])</f>
        <v>0</v>
      </c>
      <c r="E151" s="24"/>
      <c r="F151" s="65" t="s">
        <v>1133</v>
      </c>
      <c r="G151" s="65"/>
      <c r="H151" s="51" t="s">
        <v>1149</v>
      </c>
      <c r="I151" s="65"/>
    </row>
    <row r="152" spans="1:9" ht="17" x14ac:dyDescent="0.3">
      <c r="A152" s="3" t="s">
        <v>187</v>
      </c>
      <c r="B152" s="2" t="s">
        <v>180</v>
      </c>
      <c r="C152" s="2" t="s">
        <v>640</v>
      </c>
      <c r="D152" s="24">
        <f>SUMIFS(出入庫!F:F,出入庫!E:E,"入庫",出入庫!B:B,表格2[[#This Row],[料號]])-SUMIFS(出入庫!F:F,出入庫!E:E,"出庫",出入庫!B:B,表格2[[#This Row],[料號]])</f>
        <v>4000</v>
      </c>
      <c r="E152" s="24"/>
      <c r="F152" s="65" t="s">
        <v>1133</v>
      </c>
      <c r="G152" s="65"/>
      <c r="H152" s="51" t="s">
        <v>1149</v>
      </c>
      <c r="I152" s="65"/>
    </row>
    <row r="153" spans="1:9" ht="17" x14ac:dyDescent="0.3">
      <c r="A153" s="3" t="s">
        <v>188</v>
      </c>
      <c r="B153" s="2" t="s">
        <v>180</v>
      </c>
      <c r="C153" s="2" t="s">
        <v>641</v>
      </c>
      <c r="D153" s="24">
        <f>SUMIFS(出入庫!F:F,出入庫!E:E,"入庫",出入庫!B:B,表格2[[#This Row],[料號]])-SUMIFS(出入庫!F:F,出入庫!E:E,"出庫",出入庫!B:B,表格2[[#This Row],[料號]])</f>
        <v>0</v>
      </c>
      <c r="E153" s="24"/>
      <c r="F153" s="65" t="s">
        <v>1133</v>
      </c>
      <c r="G153" s="65"/>
      <c r="H153" s="51" t="s">
        <v>1149</v>
      </c>
      <c r="I153" s="65"/>
    </row>
    <row r="154" spans="1:9" ht="15.5" x14ac:dyDescent="0.3">
      <c r="A154" s="3" t="s">
        <v>189</v>
      </c>
      <c r="B154" s="2" t="s">
        <v>180</v>
      </c>
      <c r="C154" s="2" t="s">
        <v>190</v>
      </c>
      <c r="D154" s="24">
        <f>SUMIFS(出入庫!F:F,出入庫!E:E,"入庫",出入庫!B:B,表格2[[#This Row],[料號]])-SUMIFS(出入庫!F:F,出入庫!E:E,"出庫",出入庫!B:B,表格2[[#This Row],[料號]])</f>
        <v>0</v>
      </c>
      <c r="E154" s="24"/>
      <c r="F154" s="65" t="s">
        <v>1133</v>
      </c>
      <c r="G154" s="65"/>
      <c r="H154" s="51" t="s">
        <v>1149</v>
      </c>
      <c r="I154" s="65"/>
    </row>
    <row r="155" spans="1:9" ht="17" x14ac:dyDescent="0.3">
      <c r="A155" s="3" t="s">
        <v>191</v>
      </c>
      <c r="B155" s="2" t="s">
        <v>192</v>
      </c>
      <c r="C155" s="2" t="s">
        <v>642</v>
      </c>
      <c r="D155" s="24">
        <f>SUMIFS(出入庫!F:F,出入庫!E:E,"入庫",出入庫!B:B,表格2[[#This Row],[料號]])-SUMIFS(出入庫!F:F,出入庫!E:E,"出庫",出入庫!B:B,表格2[[#This Row],[料號]])</f>
        <v>0</v>
      </c>
      <c r="E155" s="24"/>
      <c r="F155" s="65"/>
      <c r="G155" s="65"/>
      <c r="H155" s="51" t="s">
        <v>1149</v>
      </c>
      <c r="I155" s="65"/>
    </row>
    <row r="156" spans="1:9" ht="17" x14ac:dyDescent="0.3">
      <c r="A156" s="3" t="s">
        <v>193</v>
      </c>
      <c r="B156" s="2" t="s">
        <v>194</v>
      </c>
      <c r="C156" s="2" t="s">
        <v>643</v>
      </c>
      <c r="D156" s="24">
        <f>SUMIFS(出入庫!F:F,出入庫!E:E,"入庫",出入庫!B:B,表格2[[#This Row],[料號]])-SUMIFS(出入庫!F:F,出入庫!E:E,"出庫",出入庫!B:B,表格2[[#This Row],[料號]])</f>
        <v>0</v>
      </c>
      <c r="E156" s="24"/>
      <c r="F156" s="65"/>
      <c r="G156" s="65"/>
      <c r="H156" s="51" t="s">
        <v>1149</v>
      </c>
      <c r="I156" s="65"/>
    </row>
    <row r="157" spans="1:9" ht="17" x14ac:dyDescent="0.3">
      <c r="A157" s="3" t="s">
        <v>195</v>
      </c>
      <c r="B157" s="2" t="s">
        <v>194</v>
      </c>
      <c r="C157" s="2" t="s">
        <v>644</v>
      </c>
      <c r="D157" s="24">
        <f>SUMIFS(出入庫!F:F,出入庫!E:E,"入庫",出入庫!B:B,表格2[[#This Row],[料號]])-SUMIFS(出入庫!F:F,出入庫!E:E,"出庫",出入庫!B:B,表格2[[#This Row],[料號]])</f>
        <v>3860</v>
      </c>
      <c r="E157" s="24"/>
      <c r="F157" s="65"/>
      <c r="G157" s="65"/>
      <c r="H157" s="51" t="s">
        <v>1149</v>
      </c>
      <c r="I157" s="65"/>
    </row>
    <row r="158" spans="1:9" ht="17" x14ac:dyDescent="0.3">
      <c r="A158" s="3" t="s">
        <v>932</v>
      </c>
      <c r="B158" s="2" t="s">
        <v>197</v>
      </c>
      <c r="C158" s="2" t="s">
        <v>645</v>
      </c>
      <c r="D158" s="24">
        <f>SUMIFS(出入庫!F:F,出入庫!E:E,"入庫",出入庫!B:B,表格2[[#This Row],[料號]])-SUMIFS(出入庫!F:F,出入庫!E:E,"出庫",出入庫!B:B,表格2[[#This Row],[料號]])</f>
        <v>1771</v>
      </c>
      <c r="E158" s="24"/>
      <c r="F158" s="65" t="s">
        <v>1132</v>
      </c>
      <c r="G158" s="29">
        <v>3000</v>
      </c>
      <c r="H158" s="51" t="s">
        <v>1149</v>
      </c>
      <c r="I158" s="65"/>
    </row>
    <row r="159" spans="1:9" ht="17" x14ac:dyDescent="0.3">
      <c r="A159" s="3" t="s">
        <v>198</v>
      </c>
      <c r="B159" s="2" t="s">
        <v>197</v>
      </c>
      <c r="C159" s="2" t="s">
        <v>646</v>
      </c>
      <c r="D159" s="24">
        <f>SUMIFS(出入庫!F:F,出入庫!E:E,"入庫",出入庫!B:B,表格2[[#This Row],[料號]])-SUMIFS(出入庫!F:F,出入庫!E:E,"出庫",出入庫!B:B,表格2[[#This Row],[料號]])</f>
        <v>6096</v>
      </c>
      <c r="E159" s="24"/>
      <c r="F159" s="65"/>
      <c r="G159" s="65"/>
      <c r="H159" s="51" t="s">
        <v>1149</v>
      </c>
      <c r="I159" s="65"/>
    </row>
    <row r="160" spans="1:9" ht="15.5" x14ac:dyDescent="0.3">
      <c r="A160" s="3" t="s">
        <v>199</v>
      </c>
      <c r="B160" s="2" t="s">
        <v>197</v>
      </c>
      <c r="C160" s="2" t="s">
        <v>200</v>
      </c>
      <c r="D160" s="24">
        <f>SUMIFS(出入庫!F:F,出入庫!E:E,"入庫",出入庫!B:B,表格2[[#This Row],[料號]])-SUMIFS(出入庫!F:F,出入庫!E:E,"出庫",出入庫!B:B,表格2[[#This Row],[料號]])</f>
        <v>0</v>
      </c>
      <c r="E160" s="24"/>
      <c r="F160" s="65"/>
      <c r="G160" s="65"/>
      <c r="H160" s="51" t="s">
        <v>1149</v>
      </c>
      <c r="I160" s="65"/>
    </row>
    <row r="161" spans="1:9" ht="17" x14ac:dyDescent="0.3">
      <c r="A161" s="3" t="s">
        <v>201</v>
      </c>
      <c r="B161" s="2" t="s">
        <v>197</v>
      </c>
      <c r="C161" s="2" t="s">
        <v>647</v>
      </c>
      <c r="D161" s="24">
        <f>SUMIFS(出入庫!F:F,出入庫!E:E,"入庫",出入庫!B:B,表格2[[#This Row],[料號]])-SUMIFS(出入庫!F:F,出入庫!E:E,"出庫",出入庫!B:B,表格2[[#This Row],[料號]])</f>
        <v>0</v>
      </c>
      <c r="E161" s="24"/>
      <c r="F161" s="65"/>
      <c r="G161" s="65"/>
      <c r="H161" s="51" t="s">
        <v>1149</v>
      </c>
      <c r="I161" s="65"/>
    </row>
    <row r="162" spans="1:9" ht="17" x14ac:dyDescent="0.3">
      <c r="A162" s="3" t="s">
        <v>202</v>
      </c>
      <c r="B162" s="2" t="s">
        <v>197</v>
      </c>
      <c r="C162" s="2" t="s">
        <v>648</v>
      </c>
      <c r="D162" s="24">
        <f>SUMIFS(出入庫!F:F,出入庫!E:E,"入庫",出入庫!B:B,表格2[[#This Row],[料號]])-SUMIFS(出入庫!F:F,出入庫!E:E,"出庫",出入庫!B:B,表格2[[#This Row],[料號]])</f>
        <v>3899</v>
      </c>
      <c r="E162" s="24"/>
      <c r="F162" s="65"/>
      <c r="G162" s="65"/>
      <c r="H162" s="51" t="s">
        <v>1149</v>
      </c>
      <c r="I162" s="65"/>
    </row>
    <row r="163" spans="1:9" ht="17" x14ac:dyDescent="0.3">
      <c r="A163" s="3" t="s">
        <v>203</v>
      </c>
      <c r="B163" s="2" t="s">
        <v>204</v>
      </c>
      <c r="C163" s="2" t="s">
        <v>649</v>
      </c>
      <c r="D163" s="24">
        <f>SUMIFS(出入庫!F:F,出入庫!E:E,"入庫",出入庫!B:B,表格2[[#This Row],[料號]])-SUMIFS(出入庫!F:F,出入庫!E:E,"出庫",出入庫!B:B,表格2[[#This Row],[料號]])</f>
        <v>3073</v>
      </c>
      <c r="E163" s="24"/>
      <c r="F163" s="65" t="s">
        <v>1133</v>
      </c>
      <c r="G163" s="65"/>
      <c r="H163" s="51" t="s">
        <v>1149</v>
      </c>
      <c r="I163" s="65"/>
    </row>
    <row r="164" spans="1:9" ht="17" x14ac:dyDescent="0.3">
      <c r="A164" s="3" t="s">
        <v>205</v>
      </c>
      <c r="B164" s="2" t="s">
        <v>204</v>
      </c>
      <c r="C164" s="2" t="s">
        <v>650</v>
      </c>
      <c r="D164" s="24">
        <f>SUMIFS(出入庫!F:F,出入庫!E:E,"入庫",出入庫!B:B,表格2[[#This Row],[料號]])-SUMIFS(出入庫!F:F,出入庫!E:E,"出庫",出入庫!B:B,表格2[[#This Row],[料號]])</f>
        <v>7815</v>
      </c>
      <c r="E164" s="24"/>
      <c r="F164" s="65" t="s">
        <v>1133</v>
      </c>
      <c r="G164" s="65"/>
      <c r="H164" s="51" t="s">
        <v>1149</v>
      </c>
      <c r="I164" s="65"/>
    </row>
    <row r="165" spans="1:9" ht="17" x14ac:dyDescent="0.3">
      <c r="A165" s="3" t="s">
        <v>206</v>
      </c>
      <c r="B165" s="2" t="s">
        <v>204</v>
      </c>
      <c r="C165" s="2" t="s">
        <v>651</v>
      </c>
      <c r="D165" s="24">
        <f>SUMIFS(出入庫!F:F,出入庫!E:E,"入庫",出入庫!B:B,表格2[[#This Row],[料號]])-SUMIFS(出入庫!F:F,出入庫!E:E,"出庫",出入庫!B:B,表格2[[#This Row],[料號]])</f>
        <v>1942</v>
      </c>
      <c r="E165" s="24"/>
      <c r="F165" s="65" t="s">
        <v>1133</v>
      </c>
      <c r="G165" s="65"/>
      <c r="H165" s="51" t="s">
        <v>1149</v>
      </c>
      <c r="I165" s="65"/>
    </row>
    <row r="166" spans="1:9" ht="17" x14ac:dyDescent="0.3">
      <c r="A166" s="3" t="s">
        <v>207</v>
      </c>
      <c r="B166" s="2" t="s">
        <v>204</v>
      </c>
      <c r="C166" s="2" t="s">
        <v>652</v>
      </c>
      <c r="D166" s="24">
        <f>SUMIFS(出入庫!F:F,出入庫!E:E,"入庫",出入庫!B:B,表格2[[#This Row],[料號]])-SUMIFS(出入庫!F:F,出入庫!E:E,"出庫",出入庫!B:B,表格2[[#This Row],[料號]])</f>
        <v>79</v>
      </c>
      <c r="E166" s="24"/>
      <c r="F166" s="65" t="s">
        <v>1133</v>
      </c>
      <c r="G166" s="65"/>
      <c r="H166" s="51" t="s">
        <v>1149</v>
      </c>
      <c r="I166" s="65"/>
    </row>
    <row r="167" spans="1:9" ht="17" x14ac:dyDescent="0.3">
      <c r="A167" s="3" t="s">
        <v>208</v>
      </c>
      <c r="B167" s="2" t="s">
        <v>204</v>
      </c>
      <c r="C167" s="2" t="s">
        <v>653</v>
      </c>
      <c r="D167" s="24">
        <f>SUMIFS(出入庫!F:F,出入庫!E:E,"入庫",出入庫!B:B,表格2[[#This Row],[料號]])-SUMIFS(出入庫!F:F,出入庫!E:E,"出庫",出入庫!B:B,表格2[[#This Row],[料號]])</f>
        <v>4699</v>
      </c>
      <c r="E167" s="24"/>
      <c r="F167" s="65" t="s">
        <v>1133</v>
      </c>
      <c r="G167" s="65"/>
      <c r="H167" s="51" t="s">
        <v>1149</v>
      </c>
      <c r="I167" s="65"/>
    </row>
    <row r="168" spans="1:9" ht="17" x14ac:dyDescent="0.3">
      <c r="A168" s="3" t="s">
        <v>209</v>
      </c>
      <c r="B168" s="2" t="s">
        <v>204</v>
      </c>
      <c r="C168" s="2" t="s">
        <v>1010</v>
      </c>
      <c r="D168" s="24">
        <f>SUMIFS(出入庫!F:F,出入庫!E:E,"入庫",出入庫!B:B,表格2[[#This Row],[料號]])-SUMIFS(出入庫!F:F,出入庫!E:E,"出庫",出入庫!B:B,表格2[[#This Row],[料號]])</f>
        <v>6253</v>
      </c>
      <c r="E168" s="24"/>
      <c r="F168" s="65" t="s">
        <v>1133</v>
      </c>
      <c r="G168" s="65"/>
      <c r="H168" s="51" t="s">
        <v>1149</v>
      </c>
      <c r="I168" s="65"/>
    </row>
    <row r="169" spans="1:9" ht="17" x14ac:dyDescent="0.3">
      <c r="A169" s="3" t="s">
        <v>210</v>
      </c>
      <c r="B169" s="2" t="s">
        <v>204</v>
      </c>
      <c r="C169" s="2" t="s">
        <v>654</v>
      </c>
      <c r="D169" s="24">
        <f>SUMIFS(出入庫!F:F,出入庫!E:E,"入庫",出入庫!B:B,表格2[[#This Row],[料號]])-SUMIFS(出入庫!F:F,出入庫!E:E,"出庫",出入庫!B:B,表格2[[#This Row],[料號]])</f>
        <v>2088</v>
      </c>
      <c r="E169" s="24"/>
      <c r="F169" s="65" t="s">
        <v>1133</v>
      </c>
      <c r="G169" s="65"/>
      <c r="H169" s="51" t="s">
        <v>1149</v>
      </c>
      <c r="I169" s="65"/>
    </row>
    <row r="170" spans="1:9" ht="17" x14ac:dyDescent="0.3">
      <c r="A170" s="3" t="s">
        <v>1191</v>
      </c>
      <c r="B170" s="2" t="s">
        <v>204</v>
      </c>
      <c r="C170" s="2" t="s">
        <v>655</v>
      </c>
      <c r="D170" s="24">
        <f>SUMIFS(出入庫!F:F,出入庫!E:E,"入庫",出入庫!B:B,表格2[[#This Row],[料號]])-SUMIFS(出入庫!F:F,出入庫!E:E,"出庫",出入庫!B:B,表格2[[#This Row],[料號]])</f>
        <v>22043</v>
      </c>
      <c r="E170" s="24"/>
      <c r="F170" s="65" t="s">
        <v>1133</v>
      </c>
      <c r="G170" s="65"/>
      <c r="H170" s="51" t="s">
        <v>1149</v>
      </c>
      <c r="I170" s="65"/>
    </row>
    <row r="171" spans="1:9" ht="17" x14ac:dyDescent="0.3">
      <c r="A171" s="3" t="s">
        <v>212</v>
      </c>
      <c r="B171" s="2" t="s">
        <v>204</v>
      </c>
      <c r="C171" s="2" t="s">
        <v>656</v>
      </c>
      <c r="D171" s="24">
        <f>SUMIFS(出入庫!F:F,出入庫!E:E,"入庫",出入庫!B:B,表格2[[#This Row],[料號]])-SUMIFS(出入庫!F:F,出入庫!E:E,"出庫",出入庫!B:B,表格2[[#This Row],[料號]])</f>
        <v>3669</v>
      </c>
      <c r="E171" s="24"/>
      <c r="F171" s="65" t="s">
        <v>1133</v>
      </c>
      <c r="G171" s="65"/>
      <c r="H171" s="51" t="s">
        <v>1149</v>
      </c>
      <c r="I171" s="65"/>
    </row>
    <row r="172" spans="1:9" ht="17" x14ac:dyDescent="0.3">
      <c r="A172" s="3" t="s">
        <v>213</v>
      </c>
      <c r="B172" s="2" t="s">
        <v>204</v>
      </c>
      <c r="C172" s="2" t="s">
        <v>657</v>
      </c>
      <c r="D172" s="24">
        <f>SUMIFS(出入庫!F:F,出入庫!E:E,"入庫",出入庫!B:B,表格2[[#This Row],[料號]])-SUMIFS(出入庫!F:F,出入庫!E:E,"出庫",出入庫!B:B,表格2[[#This Row],[料號]])</f>
        <v>0</v>
      </c>
      <c r="E172" s="24"/>
      <c r="F172" s="65" t="s">
        <v>1133</v>
      </c>
      <c r="G172" s="65"/>
      <c r="H172" s="51" t="s">
        <v>1149</v>
      </c>
      <c r="I172" s="65"/>
    </row>
    <row r="173" spans="1:9" ht="17" x14ac:dyDescent="0.3">
      <c r="A173" s="3" t="s">
        <v>214</v>
      </c>
      <c r="B173" s="2" t="s">
        <v>204</v>
      </c>
      <c r="C173" s="2" t="s">
        <v>658</v>
      </c>
      <c r="D173" s="24">
        <f>SUMIFS(出入庫!F:F,出入庫!E:E,"入庫",出入庫!B:B,表格2[[#This Row],[料號]])-SUMIFS(出入庫!F:F,出入庫!E:E,"出庫",出入庫!B:B,表格2[[#This Row],[料號]])</f>
        <v>0</v>
      </c>
      <c r="E173" s="24"/>
      <c r="F173" s="65" t="s">
        <v>1133</v>
      </c>
      <c r="G173" s="65"/>
      <c r="H173" s="51" t="s">
        <v>1149</v>
      </c>
      <c r="I173" s="65"/>
    </row>
    <row r="174" spans="1:9" ht="17" x14ac:dyDescent="0.3">
      <c r="A174" s="3" t="s">
        <v>215</v>
      </c>
      <c r="B174" s="2" t="s">
        <v>204</v>
      </c>
      <c r="C174" s="2" t="s">
        <v>1013</v>
      </c>
      <c r="D174" s="24">
        <f>SUMIFS(出入庫!F:F,出入庫!E:E,"入庫",出入庫!B:B,表格2[[#This Row],[料號]])-SUMIFS(出入庫!F:F,出入庫!E:E,"出庫",出入庫!B:B,表格2[[#This Row],[料號]])</f>
        <v>0</v>
      </c>
      <c r="E174" s="24"/>
      <c r="F174" s="65" t="s">
        <v>1133</v>
      </c>
      <c r="G174" s="65"/>
      <c r="H174" s="51" t="s">
        <v>1149</v>
      </c>
      <c r="I174" s="65"/>
    </row>
    <row r="175" spans="1:9" ht="17" x14ac:dyDescent="0.3">
      <c r="A175" s="3" t="s">
        <v>938</v>
      </c>
      <c r="B175" s="2" t="s">
        <v>204</v>
      </c>
      <c r="C175" s="2" t="s">
        <v>1012</v>
      </c>
      <c r="D175" s="24">
        <f>SUMIFS(出入庫!F:F,出入庫!E:E,"入庫",出入庫!B:B,表格2[[#This Row],[料號]])-SUMIFS(出入庫!F:F,出入庫!E:E,"出庫",出入庫!B:B,表格2[[#This Row],[料號]])</f>
        <v>10510</v>
      </c>
      <c r="E175" s="24"/>
      <c r="F175" s="65" t="s">
        <v>1133</v>
      </c>
      <c r="G175" s="65"/>
      <c r="H175" s="51" t="s">
        <v>1149</v>
      </c>
      <c r="I175" s="65"/>
    </row>
    <row r="176" spans="1:9" ht="17" x14ac:dyDescent="0.3">
      <c r="A176" s="3" t="s">
        <v>217</v>
      </c>
      <c r="B176" s="2" t="s">
        <v>204</v>
      </c>
      <c r="C176" s="2" t="s">
        <v>659</v>
      </c>
      <c r="D176" s="24">
        <f>SUMIFS(出入庫!F:F,出入庫!E:E,"入庫",出入庫!B:B,表格2[[#This Row],[料號]])-SUMIFS(出入庫!F:F,出入庫!E:E,"出庫",出入庫!B:B,表格2[[#This Row],[料號]])</f>
        <v>0</v>
      </c>
      <c r="E176" s="24"/>
      <c r="F176" s="65" t="s">
        <v>1133</v>
      </c>
      <c r="G176" s="65"/>
      <c r="H176" s="51" t="s">
        <v>1149</v>
      </c>
      <c r="I176" s="65"/>
    </row>
    <row r="177" spans="1:9" ht="17" x14ac:dyDescent="0.3">
      <c r="A177" s="3" t="s">
        <v>218</v>
      </c>
      <c r="B177" s="2" t="s">
        <v>204</v>
      </c>
      <c r="C177" s="2" t="s">
        <v>660</v>
      </c>
      <c r="D177" s="24">
        <f>SUMIFS(出入庫!F:F,出入庫!E:E,"入庫",出入庫!B:B,表格2[[#This Row],[料號]])-SUMIFS(出入庫!F:F,出入庫!E:E,"出庫",出入庫!B:B,表格2[[#This Row],[料號]])</f>
        <v>1298</v>
      </c>
      <c r="E177" s="24"/>
      <c r="F177" s="65" t="s">
        <v>1133</v>
      </c>
      <c r="G177" s="65"/>
      <c r="H177" s="51" t="s">
        <v>1149</v>
      </c>
      <c r="I177" s="65"/>
    </row>
    <row r="178" spans="1:9" ht="17" x14ac:dyDescent="0.3">
      <c r="A178" s="3" t="s">
        <v>219</v>
      </c>
      <c r="B178" s="2" t="s">
        <v>204</v>
      </c>
      <c r="C178" s="2" t="s">
        <v>661</v>
      </c>
      <c r="D178" s="24">
        <f>SUMIFS(出入庫!F:F,出入庫!E:E,"入庫",出入庫!B:B,表格2[[#This Row],[料號]])-SUMIFS(出入庫!F:F,出入庫!E:E,"出庫",出入庫!B:B,表格2[[#This Row],[料號]])</f>
        <v>3418</v>
      </c>
      <c r="E178" s="24"/>
      <c r="F178" s="65" t="s">
        <v>1133</v>
      </c>
      <c r="G178" s="65"/>
      <c r="H178" s="51" t="s">
        <v>1149</v>
      </c>
      <c r="I178" s="65"/>
    </row>
    <row r="179" spans="1:9" ht="17" x14ac:dyDescent="0.3">
      <c r="A179" s="3" t="s">
        <v>220</v>
      </c>
      <c r="B179" s="2" t="s">
        <v>204</v>
      </c>
      <c r="C179" s="2" t="s">
        <v>662</v>
      </c>
      <c r="D179" s="24">
        <f>SUMIFS(出入庫!F:F,出入庫!E:E,"入庫",出入庫!B:B,表格2[[#This Row],[料號]])-SUMIFS(出入庫!F:F,出入庫!E:E,"出庫",出入庫!B:B,表格2[[#This Row],[料號]])</f>
        <v>0</v>
      </c>
      <c r="E179" s="24"/>
      <c r="F179" s="65" t="s">
        <v>1133</v>
      </c>
      <c r="G179" s="65"/>
      <c r="H179" s="51" t="s">
        <v>1149</v>
      </c>
      <c r="I179" s="65"/>
    </row>
    <row r="180" spans="1:9" ht="17" x14ac:dyDescent="0.3">
      <c r="A180" s="3" t="s">
        <v>221</v>
      </c>
      <c r="B180" s="2" t="s">
        <v>204</v>
      </c>
      <c r="C180" s="2" t="s">
        <v>663</v>
      </c>
      <c r="D180" s="24">
        <f>SUMIFS(出入庫!F:F,出入庫!E:E,"入庫",出入庫!B:B,表格2[[#This Row],[料號]])-SUMIFS(出入庫!F:F,出入庫!E:E,"出庫",出入庫!B:B,表格2[[#This Row],[料號]])</f>
        <v>7131</v>
      </c>
      <c r="E180" s="24"/>
      <c r="F180" s="65" t="s">
        <v>1133</v>
      </c>
      <c r="G180" s="65"/>
      <c r="H180" s="51" t="s">
        <v>1149</v>
      </c>
      <c r="I180" s="65"/>
    </row>
    <row r="181" spans="1:9" ht="17" x14ac:dyDescent="0.3">
      <c r="A181" s="3" t="s">
        <v>222</v>
      </c>
      <c r="B181" s="2" t="s">
        <v>204</v>
      </c>
      <c r="C181" s="2" t="s">
        <v>664</v>
      </c>
      <c r="D181" s="24">
        <f>SUMIFS(出入庫!F:F,出入庫!E:E,"入庫",出入庫!B:B,表格2[[#This Row],[料號]])-SUMIFS(出入庫!F:F,出入庫!E:E,"出庫",出入庫!B:B,表格2[[#This Row],[料號]])</f>
        <v>0</v>
      </c>
      <c r="E181" s="24"/>
      <c r="F181" s="65" t="s">
        <v>1133</v>
      </c>
      <c r="G181" s="65"/>
      <c r="H181" s="51" t="s">
        <v>1149</v>
      </c>
      <c r="I181" s="65"/>
    </row>
    <row r="182" spans="1:9" ht="17" x14ac:dyDescent="0.3">
      <c r="A182" s="3" t="s">
        <v>223</v>
      </c>
      <c r="B182" s="2" t="s">
        <v>204</v>
      </c>
      <c r="C182" s="2" t="s">
        <v>665</v>
      </c>
      <c r="D182" s="24">
        <f>SUMIFS(出入庫!F:F,出入庫!E:E,"入庫",出入庫!B:B,表格2[[#This Row],[料號]])-SUMIFS(出入庫!F:F,出入庫!E:E,"出庫",出入庫!B:B,表格2[[#This Row],[料號]])</f>
        <v>0</v>
      </c>
      <c r="E182" s="24"/>
      <c r="F182" s="65" t="s">
        <v>1133</v>
      </c>
      <c r="G182" s="65"/>
      <c r="H182" s="51" t="s">
        <v>1149</v>
      </c>
      <c r="I182" s="65"/>
    </row>
    <row r="183" spans="1:9" ht="17" x14ac:dyDescent="0.3">
      <c r="A183" s="3" t="s">
        <v>224</v>
      </c>
      <c r="B183" s="2" t="s">
        <v>204</v>
      </c>
      <c r="C183" s="2" t="s">
        <v>666</v>
      </c>
      <c r="D183" s="24">
        <f>SUMIFS(出入庫!F:F,出入庫!E:E,"入庫",出入庫!B:B,表格2[[#This Row],[料號]])-SUMIFS(出入庫!F:F,出入庫!E:E,"出庫",出入庫!B:B,表格2[[#This Row],[料號]])</f>
        <v>0</v>
      </c>
      <c r="E183" s="24"/>
      <c r="F183" s="65" t="s">
        <v>1133</v>
      </c>
      <c r="G183" s="65"/>
      <c r="H183" s="51" t="s">
        <v>1149</v>
      </c>
      <c r="I183" s="65"/>
    </row>
    <row r="184" spans="1:9" ht="17" x14ac:dyDescent="0.3">
      <c r="A184" s="3" t="s">
        <v>225</v>
      </c>
      <c r="B184" s="2" t="s">
        <v>204</v>
      </c>
      <c r="C184" s="2" t="s">
        <v>667</v>
      </c>
      <c r="D184" s="24">
        <f>SUMIFS(出入庫!F:F,出入庫!E:E,"入庫",出入庫!B:B,表格2[[#This Row],[料號]])-SUMIFS(出入庫!F:F,出入庫!E:E,"出庫",出入庫!B:B,表格2[[#This Row],[料號]])</f>
        <v>0</v>
      </c>
      <c r="E184" s="24"/>
      <c r="F184" s="65" t="s">
        <v>1133</v>
      </c>
      <c r="G184" s="65"/>
      <c r="H184" s="51" t="s">
        <v>1149</v>
      </c>
      <c r="I184" s="65"/>
    </row>
    <row r="185" spans="1:9" ht="17" x14ac:dyDescent="0.3">
      <c r="A185" s="3" t="s">
        <v>226</v>
      </c>
      <c r="B185" s="2" t="s">
        <v>204</v>
      </c>
      <c r="C185" s="2" t="s">
        <v>668</v>
      </c>
      <c r="D185" s="24">
        <f>SUMIFS(出入庫!F:F,出入庫!E:E,"入庫",出入庫!B:B,表格2[[#This Row],[料號]])-SUMIFS(出入庫!F:F,出入庫!E:E,"出庫",出入庫!B:B,表格2[[#This Row],[料號]])</f>
        <v>3732</v>
      </c>
      <c r="E185" s="24"/>
      <c r="F185" s="65" t="s">
        <v>1133</v>
      </c>
      <c r="G185" s="65"/>
      <c r="H185" s="51" t="s">
        <v>1149</v>
      </c>
      <c r="I185" s="65"/>
    </row>
    <row r="186" spans="1:9" ht="15.5" x14ac:dyDescent="0.3">
      <c r="A186" s="3" t="s">
        <v>227</v>
      </c>
      <c r="B186" s="2" t="s">
        <v>204</v>
      </c>
      <c r="C186" s="2" t="s">
        <v>228</v>
      </c>
      <c r="D186" s="24">
        <f>SUMIFS(出入庫!F:F,出入庫!E:E,"入庫",出入庫!B:B,表格2[[#This Row],[料號]])-SUMIFS(出入庫!F:F,出入庫!E:E,"出庫",出入庫!B:B,表格2[[#This Row],[料號]])</f>
        <v>3892</v>
      </c>
      <c r="E186" s="24"/>
      <c r="F186" s="65" t="s">
        <v>1133</v>
      </c>
      <c r="G186" s="65"/>
      <c r="H186" s="51" t="s">
        <v>1149</v>
      </c>
      <c r="I186" s="65"/>
    </row>
    <row r="187" spans="1:9" ht="15.5" x14ac:dyDescent="0.3">
      <c r="A187" s="3" t="s">
        <v>229</v>
      </c>
      <c r="B187" s="2" t="s">
        <v>204</v>
      </c>
      <c r="C187" s="2" t="s">
        <v>230</v>
      </c>
      <c r="D187" s="24">
        <f>SUMIFS(出入庫!F:F,出入庫!E:E,"入庫",出入庫!B:B,表格2[[#This Row],[料號]])-SUMIFS(出入庫!F:F,出入庫!E:E,"出庫",出入庫!B:B,表格2[[#This Row],[料號]])</f>
        <v>0</v>
      </c>
      <c r="E187" s="24"/>
      <c r="F187" s="65" t="s">
        <v>1133</v>
      </c>
      <c r="G187" s="65"/>
      <c r="H187" s="51" t="s">
        <v>1149</v>
      </c>
      <c r="I187" s="65"/>
    </row>
    <row r="188" spans="1:9" ht="17" x14ac:dyDescent="0.3">
      <c r="A188" s="3" t="s">
        <v>231</v>
      </c>
      <c r="B188" s="2" t="s">
        <v>204</v>
      </c>
      <c r="C188" s="2" t="s">
        <v>669</v>
      </c>
      <c r="D188" s="24">
        <f>SUMIFS(出入庫!F:F,出入庫!E:E,"入庫",出入庫!B:B,表格2[[#This Row],[料號]])-SUMIFS(出入庫!F:F,出入庫!E:E,"出庫",出入庫!B:B,表格2[[#This Row],[料號]])</f>
        <v>0</v>
      </c>
      <c r="E188" s="24"/>
      <c r="F188" s="65" t="s">
        <v>1133</v>
      </c>
      <c r="G188" s="65"/>
      <c r="H188" s="51" t="s">
        <v>1149</v>
      </c>
      <c r="I188" s="65"/>
    </row>
    <row r="189" spans="1:9" ht="17" x14ac:dyDescent="0.3">
      <c r="A189" s="3" t="s">
        <v>232</v>
      </c>
      <c r="B189" s="2" t="s">
        <v>204</v>
      </c>
      <c r="C189" s="2" t="s">
        <v>670</v>
      </c>
      <c r="D189" s="24">
        <f>SUMIFS(出入庫!F:F,出入庫!E:E,"入庫",出入庫!B:B,表格2[[#This Row],[料號]])-SUMIFS(出入庫!F:F,出入庫!E:E,"出庫",出入庫!B:B,表格2[[#This Row],[料號]])</f>
        <v>0</v>
      </c>
      <c r="E189" s="24"/>
      <c r="F189" s="65" t="s">
        <v>1133</v>
      </c>
      <c r="G189" s="65"/>
      <c r="H189" s="51" t="s">
        <v>1149</v>
      </c>
      <c r="I189" s="65"/>
    </row>
    <row r="190" spans="1:9" ht="15.5" x14ac:dyDescent="0.3">
      <c r="A190" s="3" t="s">
        <v>233</v>
      </c>
      <c r="B190" s="2" t="s">
        <v>204</v>
      </c>
      <c r="C190" s="2" t="s">
        <v>234</v>
      </c>
      <c r="D190" s="24">
        <f>SUMIFS(出入庫!F:F,出入庫!E:E,"入庫",出入庫!B:B,表格2[[#This Row],[料號]])-SUMIFS(出入庫!F:F,出入庫!E:E,"出庫",出入庫!B:B,表格2[[#This Row],[料號]])</f>
        <v>0</v>
      </c>
      <c r="E190" s="24"/>
      <c r="F190" s="65" t="s">
        <v>1133</v>
      </c>
      <c r="G190" s="65"/>
      <c r="H190" s="51" t="s">
        <v>1149</v>
      </c>
      <c r="I190" s="65"/>
    </row>
    <row r="191" spans="1:9" ht="17" x14ac:dyDescent="0.3">
      <c r="A191" s="3" t="s">
        <v>235</v>
      </c>
      <c r="B191" s="2" t="s">
        <v>204</v>
      </c>
      <c r="C191" s="2" t="s">
        <v>671</v>
      </c>
      <c r="D191" s="24">
        <f>SUMIFS(出入庫!F:F,出入庫!E:E,"入庫",出入庫!B:B,表格2[[#This Row],[料號]])-SUMIFS(出入庫!F:F,出入庫!E:E,"出庫",出入庫!B:B,表格2[[#This Row],[料號]])</f>
        <v>0</v>
      </c>
      <c r="E191" s="24"/>
      <c r="F191" s="65" t="s">
        <v>1133</v>
      </c>
      <c r="G191" s="65"/>
      <c r="H191" s="51" t="s">
        <v>1149</v>
      </c>
      <c r="I191" s="65"/>
    </row>
    <row r="192" spans="1:9" ht="17" x14ac:dyDescent="0.3">
      <c r="A192" s="3" t="s">
        <v>1056</v>
      </c>
      <c r="B192" s="2" t="s">
        <v>204</v>
      </c>
      <c r="C192" s="2" t="s">
        <v>1011</v>
      </c>
      <c r="D192" s="24">
        <f>SUMIFS(出入庫!F:F,出入庫!E:E,"入庫",出入庫!B:B,表格2[[#This Row],[料號]])-SUMIFS(出入庫!F:F,出入庫!E:E,"出庫",出入庫!B:B,表格2[[#This Row],[料號]])</f>
        <v>0</v>
      </c>
      <c r="E192" s="24"/>
      <c r="F192" s="65" t="s">
        <v>1133</v>
      </c>
      <c r="G192" s="65"/>
      <c r="H192" s="51" t="s">
        <v>1149</v>
      </c>
      <c r="I192" s="65"/>
    </row>
    <row r="193" spans="1:9" ht="17" x14ac:dyDescent="0.3">
      <c r="A193" s="3" t="s">
        <v>236</v>
      </c>
      <c r="B193" s="2" t="s">
        <v>204</v>
      </c>
      <c r="C193" s="2" t="s">
        <v>672</v>
      </c>
      <c r="D193" s="24">
        <f>SUMIFS(出入庫!F:F,出入庫!E:E,"入庫",出入庫!B:B,表格2[[#This Row],[料號]])-SUMIFS(出入庫!F:F,出入庫!E:E,"出庫",出入庫!B:B,表格2[[#This Row],[料號]])</f>
        <v>0</v>
      </c>
      <c r="E193" s="24"/>
      <c r="F193" s="65" t="s">
        <v>1133</v>
      </c>
      <c r="G193" s="65"/>
      <c r="H193" s="51" t="s">
        <v>1149</v>
      </c>
      <c r="I193" s="65"/>
    </row>
    <row r="194" spans="1:9" ht="17" x14ac:dyDescent="0.3">
      <c r="A194" s="3" t="s">
        <v>237</v>
      </c>
      <c r="B194" s="2" t="s">
        <v>204</v>
      </c>
      <c r="C194" s="2" t="s">
        <v>673</v>
      </c>
      <c r="D194" s="24">
        <f>SUMIFS(出入庫!F:F,出入庫!E:E,"入庫",出入庫!B:B,表格2[[#This Row],[料號]])-SUMIFS(出入庫!F:F,出入庫!E:E,"出庫",出入庫!B:B,表格2[[#This Row],[料號]])</f>
        <v>3980</v>
      </c>
      <c r="E194" s="24"/>
      <c r="F194" s="65" t="s">
        <v>1133</v>
      </c>
      <c r="G194" s="65"/>
      <c r="H194" s="51" t="s">
        <v>1149</v>
      </c>
      <c r="I194" s="65"/>
    </row>
    <row r="195" spans="1:9" ht="17" x14ac:dyDescent="0.3">
      <c r="A195" s="3" t="s">
        <v>238</v>
      </c>
      <c r="B195" s="2" t="s">
        <v>204</v>
      </c>
      <c r="C195" s="2" t="s">
        <v>674</v>
      </c>
      <c r="D195" s="24">
        <f>SUMIFS(出入庫!F:F,出入庫!E:E,"入庫",出入庫!B:B,表格2[[#This Row],[料號]])-SUMIFS(出入庫!F:F,出入庫!E:E,"出庫",出入庫!B:B,表格2[[#This Row],[料號]])</f>
        <v>0</v>
      </c>
      <c r="E195" s="24"/>
      <c r="F195" s="65" t="s">
        <v>1133</v>
      </c>
      <c r="G195" s="65"/>
      <c r="H195" s="51" t="s">
        <v>1149</v>
      </c>
      <c r="I195" s="65"/>
    </row>
    <row r="196" spans="1:9" ht="17" x14ac:dyDescent="0.3">
      <c r="A196" s="3" t="s">
        <v>239</v>
      </c>
      <c r="B196" s="2" t="s">
        <v>240</v>
      </c>
      <c r="C196" s="2" t="s">
        <v>675</v>
      </c>
      <c r="D196" s="24">
        <f>SUMIFS(出入庫!F:F,出入庫!E:E,"入庫",出入庫!B:B,表格2[[#This Row],[料號]])-SUMIFS(出入庫!F:F,出入庫!E:E,"出庫",出入庫!B:B,表格2[[#This Row],[料號]])</f>
        <v>1202</v>
      </c>
      <c r="E196" s="24"/>
      <c r="F196" s="65" t="s">
        <v>1133</v>
      </c>
      <c r="G196" s="65"/>
      <c r="H196" s="51" t="s">
        <v>1149</v>
      </c>
      <c r="I196" s="65"/>
    </row>
    <row r="197" spans="1:9" ht="17" x14ac:dyDescent="0.3">
      <c r="A197" s="3" t="s">
        <v>241</v>
      </c>
      <c r="B197" s="2" t="s">
        <v>240</v>
      </c>
      <c r="C197" s="2" t="s">
        <v>676</v>
      </c>
      <c r="D197" s="24">
        <f>SUMIFS(出入庫!F:F,出入庫!E:E,"入庫",出入庫!B:B,表格2[[#This Row],[料號]])-SUMIFS(出入庫!F:F,出入庫!E:E,"出庫",出入庫!B:B,表格2[[#This Row],[料號]])</f>
        <v>2191</v>
      </c>
      <c r="E197" s="24"/>
      <c r="F197" s="65" t="s">
        <v>1133</v>
      </c>
      <c r="G197" s="65"/>
      <c r="H197" s="51" t="s">
        <v>1149</v>
      </c>
      <c r="I197" s="65"/>
    </row>
    <row r="198" spans="1:9" ht="17" x14ac:dyDescent="0.3">
      <c r="A198" s="3" t="s">
        <v>242</v>
      </c>
      <c r="B198" s="2" t="s">
        <v>240</v>
      </c>
      <c r="C198" s="2" t="s">
        <v>677</v>
      </c>
      <c r="D198" s="24">
        <f>SUMIFS(出入庫!F:F,出入庫!E:E,"入庫",出入庫!B:B,表格2[[#This Row],[料號]])-SUMIFS(出入庫!F:F,出入庫!E:E,"出庫",出入庫!B:B,表格2[[#This Row],[料號]])</f>
        <v>5740</v>
      </c>
      <c r="E198" s="24"/>
      <c r="F198" s="65" t="s">
        <v>1133</v>
      </c>
      <c r="G198" s="65"/>
      <c r="H198" s="51" t="s">
        <v>1149</v>
      </c>
      <c r="I198" s="65"/>
    </row>
    <row r="199" spans="1:9" ht="17" x14ac:dyDescent="0.3">
      <c r="A199" s="3" t="s">
        <v>243</v>
      </c>
      <c r="B199" s="2" t="s">
        <v>240</v>
      </c>
      <c r="C199" s="2" t="s">
        <v>678</v>
      </c>
      <c r="D199" s="24">
        <f>SUMIFS(出入庫!F:F,出入庫!E:E,"入庫",出入庫!B:B,表格2[[#This Row],[料號]])-SUMIFS(出入庫!F:F,出入庫!E:E,"出庫",出入庫!B:B,表格2[[#This Row],[料號]])</f>
        <v>3000</v>
      </c>
      <c r="E199" s="24"/>
      <c r="F199" s="65" t="s">
        <v>1133</v>
      </c>
      <c r="G199" s="65"/>
      <c r="H199" s="51" t="s">
        <v>1149</v>
      </c>
      <c r="I199" s="65"/>
    </row>
    <row r="200" spans="1:9" ht="15.5" x14ac:dyDescent="0.3">
      <c r="A200" s="3" t="s">
        <v>244</v>
      </c>
      <c r="B200" s="2" t="s">
        <v>240</v>
      </c>
      <c r="C200" s="2" t="s">
        <v>245</v>
      </c>
      <c r="D200" s="24">
        <f>SUMIFS(出入庫!F:F,出入庫!E:E,"入庫",出入庫!B:B,表格2[[#This Row],[料號]])-SUMIFS(出入庫!F:F,出入庫!E:E,"出庫",出入庫!B:B,表格2[[#This Row],[料號]])</f>
        <v>840</v>
      </c>
      <c r="E200" s="24"/>
      <c r="F200" s="65" t="s">
        <v>1133</v>
      </c>
      <c r="G200" s="65"/>
      <c r="H200" s="51" t="s">
        <v>1149</v>
      </c>
      <c r="I200" s="65"/>
    </row>
    <row r="201" spans="1:9" ht="17" x14ac:dyDescent="0.3">
      <c r="A201" s="3" t="s">
        <v>246</v>
      </c>
      <c r="B201" s="2" t="s">
        <v>240</v>
      </c>
      <c r="C201" s="2" t="s">
        <v>679</v>
      </c>
      <c r="D201" s="24">
        <f>SUMIFS(出入庫!F:F,出入庫!E:E,"入庫",出入庫!B:B,表格2[[#This Row],[料號]])-SUMIFS(出入庫!F:F,出入庫!E:E,"出庫",出入庫!B:B,表格2[[#This Row],[料號]])</f>
        <v>7197</v>
      </c>
      <c r="E201" s="24"/>
      <c r="F201" s="65" t="s">
        <v>1133</v>
      </c>
      <c r="G201" s="65"/>
      <c r="H201" s="51" t="s">
        <v>1149</v>
      </c>
      <c r="I201" s="65"/>
    </row>
    <row r="202" spans="1:9" ht="17" x14ac:dyDescent="0.3">
      <c r="A202" s="3" t="s">
        <v>247</v>
      </c>
      <c r="B202" s="2" t="s">
        <v>240</v>
      </c>
      <c r="C202" s="2" t="s">
        <v>680</v>
      </c>
      <c r="D202" s="24">
        <f>SUMIFS(出入庫!F:F,出入庫!E:E,"入庫",出入庫!B:B,表格2[[#This Row],[料號]])-SUMIFS(出入庫!F:F,出入庫!E:E,"出庫",出入庫!B:B,表格2[[#This Row],[料號]])</f>
        <v>3984</v>
      </c>
      <c r="E202" s="24"/>
      <c r="F202" s="65" t="s">
        <v>1133</v>
      </c>
      <c r="G202" s="65"/>
      <c r="H202" s="51" t="s">
        <v>1149</v>
      </c>
      <c r="I202" s="65"/>
    </row>
    <row r="203" spans="1:9" ht="17" x14ac:dyDescent="0.3">
      <c r="A203" s="3" t="s">
        <v>248</v>
      </c>
      <c r="B203" s="2" t="s">
        <v>249</v>
      </c>
      <c r="C203" s="2" t="s">
        <v>681</v>
      </c>
      <c r="D203" s="24">
        <f>SUMIFS(出入庫!F:F,出入庫!E:E,"入庫",出入庫!B:B,表格2[[#This Row],[料號]])-SUMIFS(出入庫!F:F,出入庫!E:E,"出庫",出入庫!B:B,表格2[[#This Row],[料號]])</f>
        <v>1359</v>
      </c>
      <c r="E203" s="24"/>
      <c r="F203" s="65" t="s">
        <v>1133</v>
      </c>
      <c r="G203" s="65"/>
      <c r="H203" s="51" t="s">
        <v>1149</v>
      </c>
      <c r="I203" s="65"/>
    </row>
    <row r="204" spans="1:9" ht="17" x14ac:dyDescent="0.3">
      <c r="A204" s="3" t="s">
        <v>250</v>
      </c>
      <c r="B204" s="2" t="s">
        <v>249</v>
      </c>
      <c r="C204" s="2" t="s">
        <v>682</v>
      </c>
      <c r="D204" s="24">
        <f>SUMIFS(出入庫!F:F,出入庫!E:E,"入庫",出入庫!B:B,表格2[[#This Row],[料號]])-SUMIFS(出入庫!F:F,出入庫!E:E,"出庫",出入庫!B:B,表格2[[#This Row],[料號]])</f>
        <v>1572</v>
      </c>
      <c r="E204" s="24"/>
      <c r="F204" s="65" t="s">
        <v>1133</v>
      </c>
      <c r="G204" s="65"/>
      <c r="H204" s="51" t="s">
        <v>1149</v>
      </c>
      <c r="I204" s="65"/>
    </row>
    <row r="205" spans="1:9" ht="17" x14ac:dyDescent="0.3">
      <c r="A205" s="3" t="s">
        <v>251</v>
      </c>
      <c r="B205" s="2" t="s">
        <v>249</v>
      </c>
      <c r="C205" s="2" t="s">
        <v>683</v>
      </c>
      <c r="D205" s="24">
        <f>SUMIFS(出入庫!F:F,出入庫!E:E,"入庫",出入庫!B:B,表格2[[#This Row],[料號]])-SUMIFS(出入庫!F:F,出入庫!E:E,"出庫",出入庫!B:B,表格2[[#This Row],[料號]])</f>
        <v>1000</v>
      </c>
      <c r="E205" s="24"/>
      <c r="F205" s="65"/>
      <c r="G205" s="65"/>
      <c r="H205" s="51" t="s">
        <v>1149</v>
      </c>
      <c r="I205" s="65"/>
    </row>
    <row r="206" spans="1:9" ht="17" x14ac:dyDescent="0.3">
      <c r="A206" s="3" t="s">
        <v>252</v>
      </c>
      <c r="B206" s="2" t="s">
        <v>253</v>
      </c>
      <c r="C206" s="2" t="s">
        <v>684</v>
      </c>
      <c r="D206" s="24">
        <f>SUMIFS(出入庫!F:F,出入庫!E:E,"入庫",出入庫!B:B,表格2[[#This Row],[料號]])-SUMIFS(出入庫!F:F,出入庫!E:E,"出庫",出入庫!B:B,表格2[[#This Row],[料號]])</f>
        <v>0</v>
      </c>
      <c r="E206" s="24"/>
      <c r="F206" s="65"/>
      <c r="G206" s="65"/>
      <c r="H206" s="51" t="s">
        <v>1149</v>
      </c>
      <c r="I206" s="65"/>
    </row>
    <row r="207" spans="1:9" ht="17" x14ac:dyDescent="0.3">
      <c r="A207" s="3" t="s">
        <v>254</v>
      </c>
      <c r="B207" s="2" t="s">
        <v>253</v>
      </c>
      <c r="C207" s="2" t="s">
        <v>685</v>
      </c>
      <c r="D207" s="24">
        <f>SUMIFS(出入庫!F:F,出入庫!E:E,"入庫",出入庫!B:B,表格2[[#This Row],[料號]])-SUMIFS(出入庫!F:F,出入庫!E:E,"出庫",出入庫!B:B,表格2[[#This Row],[料號]])</f>
        <v>0</v>
      </c>
      <c r="E207" s="24"/>
      <c r="F207" s="65"/>
      <c r="G207" s="65"/>
      <c r="H207" s="51" t="s">
        <v>1149</v>
      </c>
      <c r="I207" s="65"/>
    </row>
    <row r="208" spans="1:9" ht="17" x14ac:dyDescent="0.3">
      <c r="A208" s="3" t="s">
        <v>255</v>
      </c>
      <c r="B208" s="2" t="s">
        <v>253</v>
      </c>
      <c r="C208" s="2" t="s">
        <v>686</v>
      </c>
      <c r="D208" s="24">
        <f>SUMIFS(出入庫!F:F,出入庫!E:E,"入庫",出入庫!B:B,表格2[[#This Row],[料號]])-SUMIFS(出入庫!F:F,出入庫!E:E,"出庫",出入庫!B:B,表格2[[#This Row],[料號]])</f>
        <v>0</v>
      </c>
      <c r="E208" s="24"/>
      <c r="F208" s="65"/>
      <c r="G208" s="65"/>
      <c r="H208" s="51" t="s">
        <v>1149</v>
      </c>
      <c r="I208" s="65"/>
    </row>
    <row r="209" spans="1:9" ht="17" x14ac:dyDescent="0.3">
      <c r="A209" s="3" t="s">
        <v>256</v>
      </c>
      <c r="B209" s="2" t="s">
        <v>249</v>
      </c>
      <c r="C209" s="2" t="s">
        <v>687</v>
      </c>
      <c r="D209" s="24">
        <f>SUMIFS(出入庫!F:F,出入庫!E:E,"入庫",出入庫!B:B,表格2[[#This Row],[料號]])-SUMIFS(出入庫!F:F,出入庫!E:E,"出庫",出入庫!B:B,表格2[[#This Row],[料號]])</f>
        <v>1980</v>
      </c>
      <c r="E209" s="24"/>
      <c r="F209" s="65"/>
      <c r="G209" s="65"/>
      <c r="H209" s="51" t="s">
        <v>1149</v>
      </c>
      <c r="I209" s="65"/>
    </row>
    <row r="210" spans="1:9" ht="17" x14ac:dyDescent="0.3">
      <c r="A210" s="3" t="s">
        <v>257</v>
      </c>
      <c r="B210" s="2" t="s">
        <v>258</v>
      </c>
      <c r="C210" s="2" t="s">
        <v>688</v>
      </c>
      <c r="D210" s="24">
        <f>SUMIFS(出入庫!F:F,出入庫!E:E,"入庫",出入庫!B:B,表格2[[#This Row],[料號]])-SUMIFS(出入庫!F:F,出入庫!E:E,"出庫",出入庫!B:B,表格2[[#This Row],[料號]])</f>
        <v>775</v>
      </c>
      <c r="E210" s="24"/>
      <c r="F210" s="65"/>
      <c r="G210" s="65"/>
      <c r="H210" s="65"/>
      <c r="I210" s="65"/>
    </row>
    <row r="211" spans="1:9" ht="15.5" x14ac:dyDescent="0.3">
      <c r="A211" s="3" t="s">
        <v>259</v>
      </c>
      <c r="B211" s="2" t="s">
        <v>258</v>
      </c>
      <c r="C211" s="2" t="s">
        <v>260</v>
      </c>
      <c r="D211" s="24">
        <f>SUMIFS(出入庫!F:F,出入庫!E:E,"入庫",出入庫!B:B,表格2[[#This Row],[料號]])-SUMIFS(出入庫!F:F,出入庫!E:E,"出庫",出入庫!B:B,表格2[[#This Row],[料號]])</f>
        <v>0</v>
      </c>
      <c r="E211" s="24"/>
      <c r="F211" s="65"/>
      <c r="G211" s="65"/>
      <c r="H211" s="65" t="s">
        <v>1165</v>
      </c>
      <c r="I211" s="65"/>
    </row>
    <row r="212" spans="1:9" ht="17" x14ac:dyDescent="0.3">
      <c r="A212" s="3" t="s">
        <v>261</v>
      </c>
      <c r="B212" s="2" t="s">
        <v>258</v>
      </c>
      <c r="C212" s="2" t="s">
        <v>689</v>
      </c>
      <c r="D212" s="24">
        <f>SUMIFS(出入庫!F:F,出入庫!E:E,"入庫",出入庫!B:B,表格2[[#This Row],[料號]])-SUMIFS(出入庫!F:F,出入庫!E:E,"出庫",出入庫!B:B,表格2[[#This Row],[料號]])</f>
        <v>2504</v>
      </c>
      <c r="E212" s="24"/>
      <c r="F212" s="65"/>
      <c r="G212" s="65"/>
      <c r="H212" s="65"/>
      <c r="I212" s="65"/>
    </row>
    <row r="213" spans="1:9" ht="15.5" x14ac:dyDescent="0.3">
      <c r="A213" s="3" t="s">
        <v>262</v>
      </c>
      <c r="B213" s="2" t="s">
        <v>258</v>
      </c>
      <c r="C213" s="2" t="s">
        <v>263</v>
      </c>
      <c r="D213" s="24">
        <f>SUMIFS(出入庫!F:F,出入庫!E:E,"入庫",出入庫!B:B,表格2[[#This Row],[料號]])-SUMIFS(出入庫!F:F,出入庫!E:E,"出庫",出入庫!B:B,表格2[[#This Row],[料號]])</f>
        <v>0</v>
      </c>
      <c r="E213" s="24"/>
      <c r="F213" s="65"/>
      <c r="G213" s="65"/>
      <c r="H213" s="65" t="s">
        <v>1180</v>
      </c>
      <c r="I213" s="65"/>
    </row>
    <row r="214" spans="1:9" ht="15.5" x14ac:dyDescent="0.3">
      <c r="A214" s="3" t="s">
        <v>264</v>
      </c>
      <c r="B214" s="2" t="s">
        <v>258</v>
      </c>
      <c r="C214" s="2" t="s">
        <v>1187</v>
      </c>
      <c r="D214" s="24">
        <f>SUMIFS(出入庫!F:F,出入庫!E:E,"入庫",出入庫!B:B,表格2[[#This Row],[料號]])-SUMIFS(出入庫!F:F,出入庫!E:E,"出庫",出入庫!B:B,表格2[[#This Row],[料號]])</f>
        <v>0</v>
      </c>
      <c r="E214" s="24"/>
      <c r="F214" s="65"/>
      <c r="G214" s="65"/>
      <c r="H214" s="65" t="s">
        <v>1180</v>
      </c>
      <c r="I214" s="65"/>
    </row>
    <row r="215" spans="1:9" ht="15.5" x14ac:dyDescent="0.3">
      <c r="A215" s="3" t="s">
        <v>265</v>
      </c>
      <c r="B215" s="2" t="s">
        <v>266</v>
      </c>
      <c r="C215" s="2" t="s">
        <v>267</v>
      </c>
      <c r="D215" s="24">
        <f>SUMIFS(出入庫!F:F,出入庫!E:E,"入庫",出入庫!B:B,表格2[[#This Row],[料號]])-SUMIFS(出入庫!F:F,出入庫!E:E,"出庫",出入庫!B:B,表格2[[#This Row],[料號]])</f>
        <v>0</v>
      </c>
      <c r="E215" s="24"/>
      <c r="F215" s="65"/>
      <c r="G215" s="65"/>
      <c r="H215" s="65" t="s">
        <v>1165</v>
      </c>
      <c r="I215" s="65"/>
    </row>
    <row r="216" spans="1:9" ht="15.5" x14ac:dyDescent="0.3">
      <c r="A216" s="3" t="s">
        <v>268</v>
      </c>
      <c r="B216" s="2" t="s">
        <v>266</v>
      </c>
      <c r="C216" s="2" t="s">
        <v>269</v>
      </c>
      <c r="D216" s="24">
        <f>SUMIFS(出入庫!F:F,出入庫!E:E,"入庫",出入庫!B:B,表格2[[#This Row],[料號]])-SUMIFS(出入庫!F:F,出入庫!E:E,"出庫",出入庫!B:B,表格2[[#This Row],[料號]])</f>
        <v>1990</v>
      </c>
      <c r="E216" s="24"/>
      <c r="F216" s="65"/>
      <c r="G216" s="65"/>
      <c r="H216" s="65" t="s">
        <v>1165</v>
      </c>
      <c r="I216" s="65"/>
    </row>
    <row r="217" spans="1:9" ht="15.5" x14ac:dyDescent="0.3">
      <c r="A217" s="3" t="s">
        <v>270</v>
      </c>
      <c r="B217" s="2" t="s">
        <v>266</v>
      </c>
      <c r="C217" s="2" t="s">
        <v>271</v>
      </c>
      <c r="D217" s="24">
        <f>SUMIFS(出入庫!F:F,出入庫!E:E,"入庫",出入庫!B:B,表格2[[#This Row],[料號]])-SUMIFS(出入庫!F:F,出入庫!E:E,"出庫",出入庫!B:B,表格2[[#This Row],[料號]])</f>
        <v>842</v>
      </c>
      <c r="E217" s="24"/>
      <c r="F217" s="65" t="s">
        <v>1132</v>
      </c>
      <c r="G217" s="65"/>
      <c r="H217" s="65"/>
      <c r="I217" s="65"/>
    </row>
    <row r="218" spans="1:9" ht="15.5" x14ac:dyDescent="0.3">
      <c r="A218" s="3" t="s">
        <v>272</v>
      </c>
      <c r="B218" s="2" t="s">
        <v>266</v>
      </c>
      <c r="C218" s="2" t="s">
        <v>273</v>
      </c>
      <c r="D218" s="24">
        <f>SUMIFS(出入庫!F:F,出入庫!E:E,"入庫",出入庫!B:B,表格2[[#This Row],[料號]])-SUMIFS(出入庫!F:F,出入庫!E:E,"出庫",出入庫!B:B,表格2[[#This Row],[料號]])</f>
        <v>0</v>
      </c>
      <c r="E218" s="24"/>
      <c r="F218" s="65"/>
      <c r="G218" s="65"/>
      <c r="H218" s="65"/>
      <c r="I218" s="65"/>
    </row>
    <row r="219" spans="1:9" ht="15.5" x14ac:dyDescent="0.3">
      <c r="A219" s="3" t="s">
        <v>274</v>
      </c>
      <c r="B219" s="2" t="s">
        <v>266</v>
      </c>
      <c r="C219" s="2" t="s">
        <v>275</v>
      </c>
      <c r="D219" s="24">
        <f>SUMIFS(出入庫!F:F,出入庫!E:E,"入庫",出入庫!B:B,表格2[[#This Row],[料號]])-SUMIFS(出入庫!F:F,出入庫!E:E,"出庫",出入庫!B:B,表格2[[#This Row],[料號]])</f>
        <v>0</v>
      </c>
      <c r="E219" s="24"/>
      <c r="F219" s="65"/>
      <c r="G219" s="65"/>
      <c r="H219" s="65" t="s">
        <v>1180</v>
      </c>
      <c r="I219" s="65"/>
    </row>
    <row r="220" spans="1:9" ht="15.5" x14ac:dyDescent="0.3">
      <c r="A220" s="3" t="s">
        <v>276</v>
      </c>
      <c r="B220" s="2" t="s">
        <v>266</v>
      </c>
      <c r="C220" s="2" t="s">
        <v>277</v>
      </c>
      <c r="D220" s="24">
        <f>SUMIFS(出入庫!F:F,出入庫!E:E,"入庫",出入庫!B:B,表格2[[#This Row],[料號]])-SUMIFS(出入庫!F:F,出入庫!E:E,"出庫",出入庫!B:B,表格2[[#This Row],[料號]])</f>
        <v>4016</v>
      </c>
      <c r="E220" s="24"/>
      <c r="F220" s="65"/>
      <c r="G220" s="65"/>
      <c r="H220" s="65"/>
      <c r="I220" s="65"/>
    </row>
    <row r="221" spans="1:9" ht="15.5" x14ac:dyDescent="0.3">
      <c r="A221" s="3" t="s">
        <v>278</v>
      </c>
      <c r="B221" s="2" t="s">
        <v>279</v>
      </c>
      <c r="C221" s="2" t="s">
        <v>280</v>
      </c>
      <c r="D221" s="24">
        <f>SUMIFS(出入庫!F:F,出入庫!E:E,"入庫",出入庫!B:B,表格2[[#This Row],[料號]])-SUMIFS(出入庫!F:F,出入庫!E:E,"出庫",出入庫!B:B,表格2[[#This Row],[料號]])</f>
        <v>850</v>
      </c>
      <c r="E221" s="24"/>
      <c r="F221" s="65"/>
      <c r="G221" s="65"/>
      <c r="H221" s="65" t="s">
        <v>1165</v>
      </c>
      <c r="I221" s="65"/>
    </row>
    <row r="222" spans="1:9" ht="15.5" x14ac:dyDescent="0.3">
      <c r="A222" s="3" t="s">
        <v>281</v>
      </c>
      <c r="B222" s="2" t="s">
        <v>279</v>
      </c>
      <c r="C222" s="2" t="s">
        <v>282</v>
      </c>
      <c r="D222" s="24">
        <f>SUMIFS(出入庫!F:F,出入庫!E:E,"入庫",出入庫!B:B,表格2[[#This Row],[料號]])-SUMIFS(出入庫!F:F,出入庫!E:E,"出庫",出入庫!B:B,表格2[[#This Row],[料號]])</f>
        <v>4744</v>
      </c>
      <c r="E222" s="24"/>
      <c r="F222" s="65"/>
      <c r="G222" s="65"/>
      <c r="H222" s="65" t="s">
        <v>1165</v>
      </c>
      <c r="I222" s="65"/>
    </row>
    <row r="223" spans="1:9" ht="15.5" x14ac:dyDescent="0.3">
      <c r="A223" s="3" t="s">
        <v>283</v>
      </c>
      <c r="B223" s="2" t="s">
        <v>279</v>
      </c>
      <c r="C223" s="2" t="s">
        <v>284</v>
      </c>
      <c r="D223" s="24">
        <f>SUMIFS(出入庫!F:F,出入庫!E:E,"入庫",出入庫!B:B,表格2[[#This Row],[料號]])-SUMIFS(出入庫!F:F,出入庫!E:E,"出庫",出入庫!B:B,表格2[[#This Row],[料號]])</f>
        <v>7051</v>
      </c>
      <c r="E223" s="24"/>
      <c r="F223" s="65" t="s">
        <v>1133</v>
      </c>
      <c r="G223" s="65"/>
      <c r="H223" s="65" t="s">
        <v>1165</v>
      </c>
      <c r="I223" s="65"/>
    </row>
    <row r="224" spans="1:9" ht="15.5" x14ac:dyDescent="0.3">
      <c r="A224" s="3" t="s">
        <v>285</v>
      </c>
      <c r="B224" s="2" t="s">
        <v>279</v>
      </c>
      <c r="C224" s="2" t="s">
        <v>286</v>
      </c>
      <c r="D224" s="24">
        <f>SUMIFS(出入庫!F:F,出入庫!E:E,"入庫",出入庫!B:B,表格2[[#This Row],[料號]])-SUMIFS(出入庫!F:F,出入庫!E:E,"出庫",出入庫!B:B,表格2[[#This Row],[料號]])</f>
        <v>4174</v>
      </c>
      <c r="E224" s="24"/>
      <c r="F224" s="65" t="s">
        <v>1133</v>
      </c>
      <c r="G224" s="65"/>
      <c r="H224" s="65" t="s">
        <v>1165</v>
      </c>
      <c r="I224" s="65"/>
    </row>
    <row r="225" spans="1:9" ht="15.5" x14ac:dyDescent="0.3">
      <c r="A225" s="3" t="s">
        <v>287</v>
      </c>
      <c r="B225" s="2" t="s">
        <v>279</v>
      </c>
      <c r="C225" s="2" t="s">
        <v>288</v>
      </c>
      <c r="D225" s="24">
        <f>SUMIFS(出入庫!F:F,出入庫!E:E,"入庫",出入庫!B:B,表格2[[#This Row],[料號]])-SUMIFS(出入庫!F:F,出入庫!E:E,"出庫",出入庫!B:B,表格2[[#This Row],[料號]])</f>
        <v>0</v>
      </c>
      <c r="E225" s="24"/>
      <c r="F225" s="65"/>
      <c r="G225" s="65"/>
      <c r="H225" s="65" t="s">
        <v>1165</v>
      </c>
      <c r="I225" s="65"/>
    </row>
    <row r="226" spans="1:9" ht="15.5" x14ac:dyDescent="0.3">
      <c r="A226" s="3" t="s">
        <v>289</v>
      </c>
      <c r="B226" s="2" t="s">
        <v>279</v>
      </c>
      <c r="C226" s="2" t="s">
        <v>290</v>
      </c>
      <c r="D226" s="24">
        <f>SUMIFS(出入庫!F:F,出入庫!E:E,"入庫",出入庫!B:B,表格2[[#This Row],[料號]])-SUMIFS(出入庫!F:F,出入庫!E:E,"出庫",出入庫!B:B,表格2[[#This Row],[料號]])</f>
        <v>0</v>
      </c>
      <c r="E226" s="24"/>
      <c r="F226" s="65"/>
      <c r="G226" s="65"/>
      <c r="H226" s="65" t="s">
        <v>1165</v>
      </c>
      <c r="I226" s="65"/>
    </row>
    <row r="227" spans="1:9" ht="15.5" x14ac:dyDescent="0.3">
      <c r="A227" s="3" t="s">
        <v>291</v>
      </c>
      <c r="B227" s="2" t="s">
        <v>279</v>
      </c>
      <c r="C227" s="2" t="s">
        <v>292</v>
      </c>
      <c r="D227" s="24">
        <f>SUMIFS(出入庫!F:F,出入庫!E:E,"入庫",出入庫!B:B,表格2[[#This Row],[料號]])-SUMIFS(出入庫!F:F,出入庫!E:E,"出庫",出入庫!B:B,表格2[[#This Row],[料號]])</f>
        <v>2715</v>
      </c>
      <c r="E227" s="24"/>
      <c r="F227" s="65" t="s">
        <v>1133</v>
      </c>
      <c r="G227" s="65"/>
      <c r="H227" s="65" t="s">
        <v>1165</v>
      </c>
      <c r="I227" s="65"/>
    </row>
    <row r="228" spans="1:9" ht="15.5" x14ac:dyDescent="0.3">
      <c r="A228" s="3" t="s">
        <v>293</v>
      </c>
      <c r="B228" s="2" t="s">
        <v>279</v>
      </c>
      <c r="C228" s="2" t="s">
        <v>294</v>
      </c>
      <c r="D228" s="24">
        <f>SUMIFS(出入庫!F:F,出入庫!E:E,"入庫",出入庫!B:B,表格2[[#This Row],[料號]])-SUMIFS(出入庫!F:F,出入庫!E:E,"出庫",出入庫!B:B,表格2[[#This Row],[料號]])</f>
        <v>1607</v>
      </c>
      <c r="E228" s="24"/>
      <c r="F228" s="65"/>
      <c r="G228" s="65"/>
      <c r="H228" s="65"/>
      <c r="I228" s="65"/>
    </row>
    <row r="229" spans="1:9" ht="15.5" x14ac:dyDescent="0.3">
      <c r="A229" s="3" t="s">
        <v>295</v>
      </c>
      <c r="B229" s="2" t="s">
        <v>279</v>
      </c>
      <c r="C229" s="2" t="s">
        <v>296</v>
      </c>
      <c r="D229" s="24">
        <f>SUMIFS(出入庫!F:F,出入庫!E:E,"入庫",出入庫!B:B,表格2[[#This Row],[料號]])-SUMIFS(出入庫!F:F,出入庫!E:E,"出庫",出入庫!B:B,表格2[[#This Row],[料號]])</f>
        <v>0</v>
      </c>
      <c r="E229" s="24"/>
      <c r="F229" s="65"/>
      <c r="G229" s="65"/>
      <c r="H229" s="65"/>
      <c r="I229" s="65"/>
    </row>
    <row r="230" spans="1:9" ht="15.5" x14ac:dyDescent="0.3">
      <c r="A230" s="3" t="s">
        <v>297</v>
      </c>
      <c r="B230" s="2" t="s">
        <v>279</v>
      </c>
      <c r="C230" s="2" t="s">
        <v>298</v>
      </c>
      <c r="D230" s="24">
        <f>SUMIFS(出入庫!F:F,出入庫!E:E,"入庫",出入庫!B:B,表格2[[#This Row],[料號]])-SUMIFS(出入庫!F:F,出入庫!E:E,"出庫",出入庫!B:B,表格2[[#This Row],[料號]])</f>
        <v>0</v>
      </c>
      <c r="E230" s="24"/>
      <c r="F230" s="65"/>
      <c r="G230" s="65"/>
      <c r="H230" s="65" t="s">
        <v>1165</v>
      </c>
      <c r="I230" s="65"/>
    </row>
    <row r="231" spans="1:9" ht="15.5" x14ac:dyDescent="0.3">
      <c r="A231" s="3" t="s">
        <v>299</v>
      </c>
      <c r="B231" s="2" t="s">
        <v>279</v>
      </c>
      <c r="C231" s="2" t="s">
        <v>300</v>
      </c>
      <c r="D231" s="24">
        <f>SUMIFS(出入庫!F:F,出入庫!E:E,"入庫",出入庫!B:B,表格2[[#This Row],[料號]])-SUMIFS(出入庫!F:F,出入庫!E:E,"出庫",出入庫!B:B,表格2[[#This Row],[料號]])</f>
        <v>0</v>
      </c>
      <c r="E231" s="24"/>
      <c r="F231" s="65"/>
      <c r="G231" s="65"/>
      <c r="H231" s="65" t="s">
        <v>1165</v>
      </c>
      <c r="I231" s="65"/>
    </row>
    <row r="232" spans="1:9" ht="15.5" x14ac:dyDescent="0.3">
      <c r="A232" s="3" t="s">
        <v>301</v>
      </c>
      <c r="B232" s="2" t="s">
        <v>279</v>
      </c>
      <c r="C232" s="2" t="s">
        <v>302</v>
      </c>
      <c r="D232" s="24">
        <f>SUMIFS(出入庫!F:F,出入庫!E:E,"入庫",出入庫!B:B,表格2[[#This Row],[料號]])-SUMIFS(出入庫!F:F,出入庫!E:E,"出庫",出入庫!B:B,表格2[[#This Row],[料號]])</f>
        <v>5352</v>
      </c>
      <c r="E232" s="24"/>
      <c r="F232" s="65" t="s">
        <v>1133</v>
      </c>
      <c r="G232" s="65"/>
      <c r="H232" s="65" t="s">
        <v>1165</v>
      </c>
      <c r="I232" s="65"/>
    </row>
    <row r="233" spans="1:9" ht="15.5" x14ac:dyDescent="0.3">
      <c r="A233" s="3" t="s">
        <v>303</v>
      </c>
      <c r="B233" s="2" t="s">
        <v>279</v>
      </c>
      <c r="C233" s="2" t="s">
        <v>304</v>
      </c>
      <c r="D233" s="24">
        <f>SUMIFS(出入庫!F:F,出入庫!E:E,"入庫",出入庫!B:B,表格2[[#This Row],[料號]])-SUMIFS(出入庫!F:F,出入庫!E:E,"出庫",出入庫!B:B,表格2[[#This Row],[料號]])</f>
        <v>2875</v>
      </c>
      <c r="E233" s="24"/>
      <c r="F233" s="65"/>
      <c r="G233" s="65"/>
      <c r="H233" s="65" t="s">
        <v>1165</v>
      </c>
      <c r="I233" s="65"/>
    </row>
    <row r="234" spans="1:9" ht="15.5" x14ac:dyDescent="0.3">
      <c r="A234" s="3" t="s">
        <v>305</v>
      </c>
      <c r="B234" s="2" t="s">
        <v>279</v>
      </c>
      <c r="C234" s="2" t="s">
        <v>306</v>
      </c>
      <c r="D234" s="24">
        <f>SUMIFS(出入庫!F:F,出入庫!E:E,"入庫",出入庫!B:B,表格2[[#This Row],[料號]])-SUMIFS(出入庫!F:F,出入庫!E:E,"出庫",出入庫!B:B,表格2[[#This Row],[料號]])</f>
        <v>3710</v>
      </c>
      <c r="E234" s="24"/>
      <c r="F234" s="65"/>
      <c r="G234" s="65"/>
      <c r="H234" s="65" t="s">
        <v>1165</v>
      </c>
      <c r="I234" s="65"/>
    </row>
    <row r="235" spans="1:9" ht="15.5" x14ac:dyDescent="0.3">
      <c r="A235" s="3" t="s">
        <v>307</v>
      </c>
      <c r="B235" s="2" t="s">
        <v>279</v>
      </c>
      <c r="C235" s="2" t="s">
        <v>308</v>
      </c>
      <c r="D235" s="24">
        <f>SUMIFS(出入庫!F:F,出入庫!E:E,"入庫",出入庫!B:B,表格2[[#This Row],[料號]])-SUMIFS(出入庫!F:F,出入庫!E:E,"出庫",出入庫!B:B,表格2[[#This Row],[料號]])</f>
        <v>0</v>
      </c>
      <c r="E235" s="24"/>
      <c r="F235" s="65"/>
      <c r="G235" s="65"/>
      <c r="H235" s="65" t="s">
        <v>1165</v>
      </c>
      <c r="I235" s="65"/>
    </row>
    <row r="236" spans="1:9" ht="17" x14ac:dyDescent="0.3">
      <c r="A236" s="3" t="s">
        <v>309</v>
      </c>
      <c r="B236" s="2" t="s">
        <v>310</v>
      </c>
      <c r="C236" s="2" t="s">
        <v>690</v>
      </c>
      <c r="D236" s="24">
        <f>SUMIFS(出入庫!F:F,出入庫!E:E,"入庫",出入庫!B:B,表格2[[#This Row],[料號]])-SUMIFS(出入庫!F:F,出入庫!E:E,"出庫",出入庫!B:B,表格2[[#This Row],[料號]])</f>
        <v>1927</v>
      </c>
      <c r="E236" s="24"/>
      <c r="F236" s="65" t="s">
        <v>1133</v>
      </c>
      <c r="G236" s="65"/>
      <c r="H236" s="65"/>
      <c r="I236" s="65"/>
    </row>
    <row r="237" spans="1:9" ht="17" x14ac:dyDescent="0.3">
      <c r="A237" s="3" t="s">
        <v>311</v>
      </c>
      <c r="B237" s="2" t="s">
        <v>310</v>
      </c>
      <c r="C237" s="2" t="s">
        <v>691</v>
      </c>
      <c r="D237" s="24">
        <f>SUMIFS(出入庫!F:F,出入庫!E:E,"入庫",出入庫!B:B,表格2[[#This Row],[料號]])-SUMIFS(出入庫!F:F,出入庫!E:E,"出庫",出入庫!B:B,表格2[[#This Row],[料號]])</f>
        <v>1448</v>
      </c>
      <c r="E237" s="24"/>
      <c r="F237" s="65"/>
      <c r="G237" s="65"/>
      <c r="H237" s="65"/>
      <c r="I237" s="65"/>
    </row>
    <row r="238" spans="1:9" ht="15.5" x14ac:dyDescent="0.3">
      <c r="A238" s="3" t="s">
        <v>312</v>
      </c>
      <c r="B238" s="2" t="s">
        <v>310</v>
      </c>
      <c r="C238" s="2" t="s">
        <v>313</v>
      </c>
      <c r="D238" s="24">
        <f>SUMIFS(出入庫!F:F,出入庫!E:E,"入庫",出入庫!B:B,表格2[[#This Row],[料號]])-SUMIFS(出入庫!F:F,出入庫!E:E,"出庫",出入庫!B:B,表格2[[#This Row],[料號]])</f>
        <v>2833</v>
      </c>
      <c r="E238" s="24"/>
      <c r="F238" s="65"/>
      <c r="G238" s="65"/>
      <c r="H238" s="65" t="s">
        <v>1165</v>
      </c>
      <c r="I238" s="65"/>
    </row>
    <row r="239" spans="1:9" ht="15.5" x14ac:dyDescent="0.3">
      <c r="A239" s="3" t="s">
        <v>314</v>
      </c>
      <c r="B239" s="2" t="s">
        <v>310</v>
      </c>
      <c r="C239" s="2" t="s">
        <v>315</v>
      </c>
      <c r="D239" s="24">
        <f>SUMIFS(出入庫!F:F,出入庫!E:E,"入庫",出入庫!B:B,表格2[[#This Row],[料號]])-SUMIFS(出入庫!F:F,出入庫!E:E,"出庫",出入庫!B:B,表格2[[#This Row],[料號]])</f>
        <v>2531</v>
      </c>
      <c r="E239" s="24"/>
      <c r="F239" s="65" t="s">
        <v>1132</v>
      </c>
      <c r="G239" s="65"/>
      <c r="H239" s="65" t="s">
        <v>1165</v>
      </c>
      <c r="I239" s="65"/>
    </row>
    <row r="240" spans="1:9" ht="17" x14ac:dyDescent="0.3">
      <c r="A240" s="3" t="s">
        <v>316</v>
      </c>
      <c r="B240" s="2" t="s">
        <v>310</v>
      </c>
      <c r="C240" s="2" t="s">
        <v>692</v>
      </c>
      <c r="D240" s="24">
        <f>SUMIFS(出入庫!F:F,出入庫!E:E,"入庫",出入庫!B:B,表格2[[#This Row],[料號]])-SUMIFS(出入庫!F:F,出入庫!E:E,"出庫",出入庫!B:B,表格2[[#This Row],[料號]])</f>
        <v>6000</v>
      </c>
      <c r="E240" s="24"/>
      <c r="F240" s="65"/>
      <c r="G240" s="65"/>
      <c r="H240" s="65"/>
      <c r="I240" s="65"/>
    </row>
    <row r="241" spans="1:9" ht="15.5" x14ac:dyDescent="0.3">
      <c r="A241" s="3" t="s">
        <v>317</v>
      </c>
      <c r="B241" s="2" t="s">
        <v>310</v>
      </c>
      <c r="C241" s="2" t="s">
        <v>318</v>
      </c>
      <c r="D241" s="24">
        <f>SUMIFS(出入庫!F:F,出入庫!E:E,"入庫",出入庫!B:B,表格2[[#This Row],[料號]])-SUMIFS(出入庫!F:F,出入庫!E:E,"出庫",出入庫!B:B,表格2[[#This Row],[料號]])</f>
        <v>2920</v>
      </c>
      <c r="E241" s="24"/>
      <c r="F241" s="65"/>
      <c r="G241" s="65"/>
      <c r="H241" s="65" t="s">
        <v>1165</v>
      </c>
      <c r="I241" s="65"/>
    </row>
    <row r="242" spans="1:9" ht="15.5" x14ac:dyDescent="0.3">
      <c r="A242" s="3" t="s">
        <v>319</v>
      </c>
      <c r="B242" s="2" t="s">
        <v>310</v>
      </c>
      <c r="C242" s="2" t="s">
        <v>320</v>
      </c>
      <c r="D242" s="24">
        <f>SUMIFS(出入庫!F:F,出入庫!E:E,"入庫",出入庫!B:B,表格2[[#This Row],[料號]])-SUMIFS(出入庫!F:F,出入庫!E:E,"出庫",出入庫!B:B,表格2[[#This Row],[料號]])</f>
        <v>3000</v>
      </c>
      <c r="E242" s="24"/>
      <c r="F242" s="65"/>
      <c r="G242" s="65"/>
      <c r="H242" s="65"/>
      <c r="I242" s="65"/>
    </row>
    <row r="243" spans="1:9" ht="15.5" x14ac:dyDescent="0.3">
      <c r="A243" s="3" t="s">
        <v>321</v>
      </c>
      <c r="B243" s="2" t="s">
        <v>310</v>
      </c>
      <c r="C243" s="2" t="s">
        <v>322</v>
      </c>
      <c r="D243" s="24">
        <f>SUMIFS(出入庫!F:F,出入庫!E:E,"入庫",出入庫!B:B,表格2[[#This Row],[料號]])-SUMIFS(出入庫!F:F,出入庫!E:E,"出庫",出入庫!B:B,表格2[[#This Row],[料號]])</f>
        <v>100</v>
      </c>
      <c r="E243" s="24"/>
      <c r="F243" s="65"/>
      <c r="G243" s="65"/>
      <c r="H243" s="65" t="s">
        <v>1165</v>
      </c>
      <c r="I243" s="65"/>
    </row>
    <row r="244" spans="1:9" ht="17" x14ac:dyDescent="0.3">
      <c r="A244" s="3" t="s">
        <v>323</v>
      </c>
      <c r="B244" s="2" t="s">
        <v>324</v>
      </c>
      <c r="C244" s="2" t="s">
        <v>693</v>
      </c>
      <c r="D244" s="24">
        <f>SUMIFS(出入庫!F:F,出入庫!E:E,"入庫",出入庫!B:B,表格2[[#This Row],[料號]])-SUMIFS(出入庫!F:F,出入庫!E:E,"出庫",出入庫!B:B,表格2[[#This Row],[料號]])</f>
        <v>1232</v>
      </c>
      <c r="E244" s="24"/>
      <c r="F244" s="65"/>
      <c r="G244" s="65"/>
      <c r="H244" s="65"/>
      <c r="I244" s="65"/>
    </row>
    <row r="245" spans="1:9" ht="17" x14ac:dyDescent="0.3">
      <c r="A245" s="3" t="s">
        <v>325</v>
      </c>
      <c r="B245" s="2" t="s">
        <v>326</v>
      </c>
      <c r="C245" s="2" t="s">
        <v>694</v>
      </c>
      <c r="D245" s="24">
        <f>SUMIFS(出入庫!F:F,出入庫!E:E,"入庫",出入庫!B:B,表格2[[#This Row],[料號]])-SUMIFS(出入庫!F:F,出入庫!E:E,"出庫",出入庫!B:B,表格2[[#This Row],[料號]])</f>
        <v>8885</v>
      </c>
      <c r="E245" s="24"/>
      <c r="F245" s="65"/>
      <c r="G245" s="65"/>
      <c r="H245" s="65"/>
      <c r="I245" s="65"/>
    </row>
    <row r="246" spans="1:9" ht="17" x14ac:dyDescent="0.3">
      <c r="A246" s="3" t="s">
        <v>327</v>
      </c>
      <c r="B246" s="2" t="s">
        <v>326</v>
      </c>
      <c r="C246" s="2" t="s">
        <v>695</v>
      </c>
      <c r="D246" s="24">
        <f>SUMIFS(出入庫!F:F,出入庫!E:E,"入庫",出入庫!B:B,表格2[[#This Row],[料號]])-SUMIFS(出入庫!F:F,出入庫!E:E,"出庫",出入庫!B:B,表格2[[#This Row],[料號]])</f>
        <v>1063</v>
      </c>
      <c r="E246" s="24"/>
      <c r="F246" s="65"/>
      <c r="G246" s="65"/>
      <c r="H246" s="65"/>
      <c r="I246" s="65"/>
    </row>
    <row r="247" spans="1:9" ht="15.5" x14ac:dyDescent="0.3">
      <c r="A247" s="3" t="s">
        <v>328</v>
      </c>
      <c r="B247" s="2" t="s">
        <v>326</v>
      </c>
      <c r="C247" s="2" t="s">
        <v>329</v>
      </c>
      <c r="D247" s="24">
        <f>SUMIFS(出入庫!F:F,出入庫!E:E,"入庫",出入庫!B:B,表格2[[#This Row],[料號]])-SUMIFS(出入庫!F:F,出入庫!E:E,"出庫",出入庫!B:B,表格2[[#This Row],[料號]])</f>
        <v>1800</v>
      </c>
      <c r="E247" s="24"/>
      <c r="F247" s="65"/>
      <c r="G247" s="65"/>
      <c r="H247" s="65"/>
      <c r="I247" s="65"/>
    </row>
    <row r="248" spans="1:9" ht="17" x14ac:dyDescent="0.3">
      <c r="A248" s="3" t="s">
        <v>330</v>
      </c>
      <c r="B248" s="2" t="s">
        <v>331</v>
      </c>
      <c r="C248" s="2" t="s">
        <v>696</v>
      </c>
      <c r="D248" s="24">
        <f>SUMIFS(出入庫!F:F,出入庫!E:E,"入庫",出入庫!B:B,表格2[[#This Row],[料號]])-SUMIFS(出入庫!F:F,出入庫!E:E,"出庫",出入庫!B:B,表格2[[#This Row],[料號]])</f>
        <v>0</v>
      </c>
      <c r="E248" s="24"/>
      <c r="F248" s="65"/>
      <c r="G248" s="65"/>
      <c r="H248" s="65"/>
      <c r="I248" s="65"/>
    </row>
    <row r="249" spans="1:9" ht="17" x14ac:dyDescent="0.3">
      <c r="A249" s="3" t="s">
        <v>332</v>
      </c>
      <c r="B249" s="2" t="s">
        <v>331</v>
      </c>
      <c r="C249" s="2" t="s">
        <v>1185</v>
      </c>
      <c r="D249" s="24">
        <f>SUMIFS(出入庫!F:F,出入庫!E:E,"入庫",出入庫!B:B,表格2[[#This Row],[料號]])-SUMIFS(出入庫!F:F,出入庫!E:E,"出庫",出入庫!B:B,表格2[[#This Row],[料號]])</f>
        <v>0</v>
      </c>
      <c r="E249" s="24"/>
      <c r="F249" s="65"/>
      <c r="G249" s="65"/>
      <c r="H249" s="67" t="s">
        <v>1186</v>
      </c>
      <c r="I249" s="65"/>
    </row>
    <row r="250" spans="1:9" ht="17" x14ac:dyDescent="0.3">
      <c r="A250" s="3" t="s">
        <v>333</v>
      </c>
      <c r="B250" s="2" t="s">
        <v>331</v>
      </c>
      <c r="C250" s="2" t="s">
        <v>697</v>
      </c>
      <c r="D250" s="24">
        <f>SUMIFS(出入庫!F:F,出入庫!E:E,"入庫",出入庫!B:B,表格2[[#This Row],[料號]])-SUMIFS(出入庫!F:F,出入庫!E:E,"出庫",出入庫!B:B,表格2[[#This Row],[料號]])</f>
        <v>0</v>
      </c>
      <c r="E250" s="24"/>
      <c r="F250" s="65"/>
      <c r="G250" s="65"/>
      <c r="H250" s="65"/>
      <c r="I250" s="65"/>
    </row>
    <row r="251" spans="1:9" ht="17" x14ac:dyDescent="0.3">
      <c r="A251" s="3" t="s">
        <v>334</v>
      </c>
      <c r="B251" s="2" t="s">
        <v>331</v>
      </c>
      <c r="C251" s="2" t="s">
        <v>698</v>
      </c>
      <c r="D251" s="24">
        <f>SUMIFS(出入庫!F:F,出入庫!E:E,"入庫",出入庫!B:B,表格2[[#This Row],[料號]])-SUMIFS(出入庫!F:F,出入庫!E:E,"出庫",出入庫!B:B,表格2[[#This Row],[料號]])</f>
        <v>248</v>
      </c>
      <c r="E251" s="24"/>
      <c r="F251" s="65" t="s">
        <v>1132</v>
      </c>
      <c r="G251" s="65"/>
      <c r="H251" s="65"/>
      <c r="I251" s="65"/>
    </row>
    <row r="252" spans="1:9" ht="15.5" x14ac:dyDescent="0.3">
      <c r="A252" s="3" t="s">
        <v>335</v>
      </c>
      <c r="B252" s="2" t="s">
        <v>331</v>
      </c>
      <c r="C252" s="2" t="s">
        <v>336</v>
      </c>
      <c r="D252" s="24">
        <f>SUMIFS(出入庫!F:F,出入庫!E:E,"入庫",出入庫!B:B,表格2[[#This Row],[料號]])-SUMIFS(出入庫!F:F,出入庫!E:E,"出庫",出入庫!B:B,表格2[[#This Row],[料號]])</f>
        <v>600</v>
      </c>
      <c r="E252" s="24"/>
      <c r="F252" s="65" t="s">
        <v>1133</v>
      </c>
      <c r="G252" s="65"/>
      <c r="H252" s="65"/>
      <c r="I252" s="65"/>
    </row>
    <row r="253" spans="1:9" ht="15.5" x14ac:dyDescent="0.3">
      <c r="A253" s="3" t="s">
        <v>337</v>
      </c>
      <c r="B253" s="2" t="s">
        <v>331</v>
      </c>
      <c r="C253" s="2" t="s">
        <v>338</v>
      </c>
      <c r="D253" s="24">
        <f>SUMIFS(出入庫!F:F,出入庫!E:E,"入庫",出入庫!B:B,表格2[[#This Row],[料號]])-SUMIFS(出入庫!F:F,出入庫!E:E,"出庫",出入庫!B:B,表格2[[#This Row],[料號]])</f>
        <v>0</v>
      </c>
      <c r="E253" s="24"/>
      <c r="F253" s="65"/>
      <c r="G253" s="65"/>
      <c r="H253" s="65"/>
      <c r="I253" s="65"/>
    </row>
    <row r="254" spans="1:9" ht="17" x14ac:dyDescent="0.3">
      <c r="A254" s="3" t="s">
        <v>339</v>
      </c>
      <c r="B254" s="2" t="s">
        <v>331</v>
      </c>
      <c r="C254" s="2" t="s">
        <v>699</v>
      </c>
      <c r="D254" s="24">
        <f>SUMIFS(出入庫!F:F,出入庫!E:E,"入庫",出入庫!B:B,表格2[[#This Row],[料號]])-SUMIFS(出入庫!F:F,出入庫!E:E,"出庫",出入庫!B:B,表格2[[#This Row],[料號]])</f>
        <v>0</v>
      </c>
      <c r="E254" s="24"/>
      <c r="F254" s="65"/>
      <c r="G254" s="65"/>
      <c r="H254" s="65"/>
      <c r="I254" s="65"/>
    </row>
    <row r="255" spans="1:9" ht="17" x14ac:dyDescent="0.3">
      <c r="A255" s="3" t="s">
        <v>340</v>
      </c>
      <c r="B255" s="2" t="s">
        <v>331</v>
      </c>
      <c r="C255" s="2" t="s">
        <v>700</v>
      </c>
      <c r="D255" s="24">
        <f>SUMIFS(出入庫!F:F,出入庫!E:E,"入庫",出入庫!B:B,表格2[[#This Row],[料號]])-SUMIFS(出入庫!F:F,出入庫!E:E,"出庫",出入庫!B:B,表格2[[#This Row],[料號]])</f>
        <v>0</v>
      </c>
      <c r="E255" s="24"/>
      <c r="F255" s="65"/>
      <c r="G255" s="65"/>
      <c r="H255" s="65"/>
      <c r="I255" s="65"/>
    </row>
    <row r="256" spans="1:9" ht="17" x14ac:dyDescent="0.3">
      <c r="A256" s="3" t="s">
        <v>341</v>
      </c>
      <c r="B256" s="2" t="s">
        <v>331</v>
      </c>
      <c r="C256" s="2" t="s">
        <v>701</v>
      </c>
      <c r="D256" s="24">
        <f>SUMIFS(出入庫!F:F,出入庫!E:E,"入庫",出入庫!B:B,表格2[[#This Row],[料號]])-SUMIFS(出入庫!F:F,出入庫!E:E,"出庫",出入庫!B:B,表格2[[#This Row],[料號]])</f>
        <v>0</v>
      </c>
      <c r="E256" s="24"/>
      <c r="F256" s="65"/>
      <c r="G256" s="65"/>
      <c r="H256" s="65"/>
      <c r="I256" s="65"/>
    </row>
    <row r="257" spans="1:9" ht="17" x14ac:dyDescent="0.3">
      <c r="A257" s="3" t="s">
        <v>342</v>
      </c>
      <c r="B257" s="2" t="s">
        <v>331</v>
      </c>
      <c r="C257" s="2" t="s">
        <v>702</v>
      </c>
      <c r="D257" s="24">
        <f>SUMIFS(出入庫!F:F,出入庫!E:E,"入庫",出入庫!B:B,表格2[[#This Row],[料號]])-SUMIFS(出入庫!F:F,出入庫!E:E,"出庫",出入庫!B:B,表格2[[#This Row],[料號]])</f>
        <v>0</v>
      </c>
      <c r="E257" s="24"/>
      <c r="F257" s="65"/>
      <c r="G257" s="65"/>
      <c r="H257" s="65"/>
      <c r="I257" s="65"/>
    </row>
    <row r="258" spans="1:9" ht="17" x14ac:dyDescent="0.3">
      <c r="A258" s="3" t="s">
        <v>343</v>
      </c>
      <c r="B258" s="2" t="s">
        <v>331</v>
      </c>
      <c r="C258" s="2" t="s">
        <v>703</v>
      </c>
      <c r="D258" s="24">
        <f>SUMIFS(出入庫!F:F,出入庫!E:E,"入庫",出入庫!B:B,表格2[[#This Row],[料號]])-SUMIFS(出入庫!F:F,出入庫!E:E,"出庫",出入庫!B:B,表格2[[#This Row],[料號]])</f>
        <v>0</v>
      </c>
      <c r="E258" s="24"/>
      <c r="F258" s="65"/>
      <c r="G258" s="65"/>
      <c r="H258" s="65"/>
      <c r="I258" s="65"/>
    </row>
    <row r="259" spans="1:9" ht="17" x14ac:dyDescent="0.3">
      <c r="A259" s="3" t="s">
        <v>1117</v>
      </c>
      <c r="B259" s="2" t="s">
        <v>331</v>
      </c>
      <c r="C259" s="28" t="s">
        <v>1118</v>
      </c>
      <c r="D259" s="29">
        <f>SUMIFS(出入庫!F:F,出入庫!E:E,"入庫",出入庫!B:B,表格2[[#This Row],[料號]])-SUMIFS(出入庫!F:F,出入庫!E:E,"出庫",出入庫!B:B,表格2[[#This Row],[料號]])</f>
        <v>0</v>
      </c>
      <c r="E259" s="66"/>
      <c r="F259" s="65"/>
      <c r="G259" s="65"/>
      <c r="H259" s="65"/>
      <c r="I259" s="65"/>
    </row>
    <row r="260" spans="1:9" ht="17" x14ac:dyDescent="0.3">
      <c r="A260" s="3" t="s">
        <v>344</v>
      </c>
      <c r="B260" s="2" t="s">
        <v>345</v>
      </c>
      <c r="C260" s="2" t="s">
        <v>704</v>
      </c>
      <c r="D260" s="24">
        <f>SUMIFS(出入庫!F:F,出入庫!E:E,"入庫",出入庫!B:B,表格2[[#This Row],[料號]])-SUMIFS(出入庫!F:F,出入庫!E:E,"出庫",出入庫!B:B,表格2[[#This Row],[料號]])</f>
        <v>0</v>
      </c>
      <c r="E260" s="24"/>
      <c r="F260" s="65"/>
      <c r="G260" s="65"/>
      <c r="H260" s="65"/>
      <c r="I260" s="65"/>
    </row>
    <row r="261" spans="1:9" ht="15.5" x14ac:dyDescent="0.3">
      <c r="A261" s="3" t="s">
        <v>346</v>
      </c>
      <c r="B261" s="2" t="s">
        <v>345</v>
      </c>
      <c r="C261" s="2" t="s">
        <v>347</v>
      </c>
      <c r="D261" s="24">
        <f>SUMIFS(出入庫!F:F,出入庫!E:E,"入庫",出入庫!B:B,表格2[[#This Row],[料號]])-SUMIFS(出入庫!F:F,出入庫!E:E,"出庫",出入庫!B:B,表格2[[#This Row],[料號]])</f>
        <v>0</v>
      </c>
      <c r="E261" s="24"/>
      <c r="F261" s="65"/>
      <c r="G261" s="65"/>
      <c r="H261" s="65"/>
      <c r="I261" s="65"/>
    </row>
    <row r="262" spans="1:9" ht="17" x14ac:dyDescent="0.3">
      <c r="A262" s="3" t="s">
        <v>1125</v>
      </c>
      <c r="B262" s="2" t="s">
        <v>345</v>
      </c>
      <c r="C262" s="28" t="s">
        <v>1120</v>
      </c>
      <c r="D262" s="29">
        <f>SUMIFS(出入庫!F:F,出入庫!E:E,"入庫",出入庫!B:B,表格2[[#This Row],[料號]])-SUMIFS(出入庫!F:F,出入庫!E:E,"出庫",出入庫!B:B,表格2[[#This Row],[料號]])</f>
        <v>2400</v>
      </c>
      <c r="E262" s="66"/>
      <c r="F262" s="65"/>
      <c r="G262" s="65"/>
      <c r="H262" s="67" t="s">
        <v>1184</v>
      </c>
      <c r="I262" s="65"/>
    </row>
    <row r="263" spans="1:9" ht="17" x14ac:dyDescent="0.3">
      <c r="A263" s="3" t="s">
        <v>1121</v>
      </c>
      <c r="B263" s="2" t="s">
        <v>345</v>
      </c>
      <c r="C263" s="28" t="s">
        <v>1123</v>
      </c>
      <c r="D263" s="29">
        <f>SUMIFS(出入庫!F:F,出入庫!E:E,"入庫",出入庫!B:B,表格2[[#This Row],[料號]])-SUMIFS(出入庫!F:F,出入庫!E:E,"出庫",出入庫!B:B,表格2[[#This Row],[料號]])</f>
        <v>0</v>
      </c>
      <c r="E263" s="66"/>
      <c r="F263" s="65"/>
      <c r="G263" s="65"/>
      <c r="H263" s="67" t="s">
        <v>1184</v>
      </c>
      <c r="I263" s="65"/>
    </row>
    <row r="264" spans="1:9" ht="17" x14ac:dyDescent="0.3">
      <c r="A264" s="3" t="s">
        <v>1122</v>
      </c>
      <c r="B264" s="2" t="s">
        <v>345</v>
      </c>
      <c r="C264" s="28" t="s">
        <v>1124</v>
      </c>
      <c r="D264" s="29">
        <f>SUMIFS(出入庫!F:F,出入庫!E:E,"入庫",出入庫!B:B,表格2[[#This Row],[料號]])-SUMIFS(出入庫!F:F,出入庫!E:E,"出庫",出入庫!B:B,表格2[[#This Row],[料號]])</f>
        <v>400</v>
      </c>
      <c r="E264" s="66"/>
      <c r="F264" s="65"/>
      <c r="G264" s="65"/>
      <c r="H264" s="67" t="s">
        <v>1184</v>
      </c>
      <c r="I264" s="65"/>
    </row>
    <row r="265" spans="1:9" ht="17" x14ac:dyDescent="0.3">
      <c r="A265" s="3" t="s">
        <v>348</v>
      </c>
      <c r="B265" s="2" t="s">
        <v>705</v>
      </c>
      <c r="C265" s="2" t="s">
        <v>349</v>
      </c>
      <c r="D265" s="24">
        <f>SUMIFS(出入庫!F:F,出入庫!E:E,"入庫",出入庫!B:B,表格2[[#This Row],[料號]])-SUMIFS(出入庫!F:F,出入庫!E:E,"出庫",出入庫!B:B,表格2[[#This Row],[料號]])</f>
        <v>0</v>
      </c>
      <c r="E265" s="24"/>
      <c r="F265" s="65"/>
      <c r="G265" s="65"/>
      <c r="H265" s="65"/>
      <c r="I265" s="65"/>
    </row>
    <row r="266" spans="1:9" ht="17" x14ac:dyDescent="0.3">
      <c r="A266" s="3" t="s">
        <v>350</v>
      </c>
      <c r="B266" s="2" t="s">
        <v>351</v>
      </c>
      <c r="C266" s="2" t="s">
        <v>706</v>
      </c>
      <c r="D266" s="24">
        <f>SUMIFS(出入庫!F:F,出入庫!E:E,"入庫",出入庫!B:B,表格2[[#This Row],[料號]])-SUMIFS(出入庫!F:F,出入庫!E:E,"出庫",出入庫!B:B,表格2[[#This Row],[料號]])</f>
        <v>1474</v>
      </c>
      <c r="E266" s="24"/>
      <c r="F266" s="65"/>
      <c r="G266" s="65"/>
      <c r="H266" s="65"/>
      <c r="I266" s="65"/>
    </row>
    <row r="267" spans="1:9" ht="17" x14ac:dyDescent="0.3">
      <c r="A267" s="3" t="s">
        <v>352</v>
      </c>
      <c r="B267" s="2" t="s">
        <v>351</v>
      </c>
      <c r="C267" s="2" t="s">
        <v>707</v>
      </c>
      <c r="D267" s="24">
        <f>SUMIFS(出入庫!F:F,出入庫!E:E,"入庫",出入庫!B:B,表格2[[#This Row],[料號]])-SUMIFS(出入庫!F:F,出入庫!E:E,"出庫",出入庫!B:B,表格2[[#This Row],[料號]])</f>
        <v>1223</v>
      </c>
      <c r="E267" s="24"/>
      <c r="F267" s="65"/>
      <c r="G267" s="65"/>
      <c r="H267" s="65"/>
      <c r="I267" s="65"/>
    </row>
    <row r="268" spans="1:9" ht="17" x14ac:dyDescent="0.3">
      <c r="A268" s="3" t="s">
        <v>353</v>
      </c>
      <c r="B268" s="2" t="s">
        <v>351</v>
      </c>
      <c r="C268" s="2" t="s">
        <v>708</v>
      </c>
      <c r="D268" s="24">
        <f>SUMIFS(出入庫!F:F,出入庫!E:E,"入庫",出入庫!B:B,表格2[[#This Row],[料號]])-SUMIFS(出入庫!F:F,出入庫!E:E,"出庫",出入庫!B:B,表格2[[#This Row],[料號]])</f>
        <v>3001</v>
      </c>
      <c r="E268" s="24"/>
      <c r="F268" s="65"/>
      <c r="G268" s="65"/>
      <c r="H268" s="67" t="s">
        <v>1183</v>
      </c>
      <c r="I268" s="65"/>
    </row>
    <row r="269" spans="1:9" ht="17" x14ac:dyDescent="0.3">
      <c r="A269" s="3" t="s">
        <v>960</v>
      </c>
      <c r="B269" s="2" t="s">
        <v>351</v>
      </c>
      <c r="C269" s="2" t="s">
        <v>1182</v>
      </c>
      <c r="D269" s="24">
        <f>SUMIFS(出入庫!F:F,出入庫!E:E,"入庫",出入庫!B:B,表格2[[#This Row],[料號]])-SUMIFS(出入庫!F:F,出入庫!E:E,"出庫",出入庫!B:B,表格2[[#This Row],[料號]])</f>
        <v>4510</v>
      </c>
      <c r="E269" s="24"/>
      <c r="F269" s="65" t="s">
        <v>1133</v>
      </c>
      <c r="G269" s="65"/>
      <c r="H269" s="67" t="s">
        <v>1183</v>
      </c>
      <c r="I269" s="65"/>
    </row>
    <row r="270" spans="1:9" ht="17" x14ac:dyDescent="0.3">
      <c r="A270" s="3" t="s">
        <v>355</v>
      </c>
      <c r="B270" s="2" t="s">
        <v>351</v>
      </c>
      <c r="C270" s="2" t="s">
        <v>709</v>
      </c>
      <c r="D270" s="24">
        <f>SUMIFS(出入庫!F:F,出入庫!E:E,"入庫",出入庫!B:B,表格2[[#This Row],[料號]])-SUMIFS(出入庫!F:F,出入庫!E:E,"出庫",出入庫!B:B,表格2[[#This Row],[料號]])</f>
        <v>949</v>
      </c>
      <c r="E270" s="24"/>
      <c r="F270" s="65"/>
      <c r="G270" s="65"/>
      <c r="H270" s="65"/>
      <c r="I270" s="65"/>
    </row>
    <row r="271" spans="1:9" ht="15.5" x14ac:dyDescent="0.3">
      <c r="A271" s="3" t="s">
        <v>356</v>
      </c>
      <c r="B271" s="2" t="s">
        <v>351</v>
      </c>
      <c r="C271" s="2" t="s">
        <v>357</v>
      </c>
      <c r="D271" s="24">
        <f>SUMIFS(出入庫!F:F,出入庫!E:E,"入庫",出入庫!B:B,表格2[[#This Row],[料號]])-SUMIFS(出入庫!F:F,出入庫!E:E,"出庫",出入庫!B:B,表格2[[#This Row],[料號]])</f>
        <v>650</v>
      </c>
      <c r="E271" s="24"/>
      <c r="F271" s="65"/>
      <c r="G271" s="65"/>
      <c r="H271" s="65"/>
      <c r="I271" s="65"/>
    </row>
    <row r="272" spans="1:9" ht="15.5" x14ac:dyDescent="0.3">
      <c r="A272" s="3" t="s">
        <v>358</v>
      </c>
      <c r="B272" s="2" t="s">
        <v>351</v>
      </c>
      <c r="C272" s="2" t="s">
        <v>359</v>
      </c>
      <c r="D272" s="24">
        <f>SUMIFS(出入庫!F:F,出入庫!E:E,"入庫",出入庫!B:B,表格2[[#This Row],[料號]])-SUMIFS(出入庫!F:F,出入庫!E:E,"出庫",出入庫!B:B,表格2[[#This Row],[料號]])</f>
        <v>864</v>
      </c>
      <c r="E272" s="24"/>
      <c r="F272" s="65"/>
      <c r="G272" s="65"/>
      <c r="H272" s="65"/>
      <c r="I272" s="65"/>
    </row>
    <row r="273" spans="1:9" ht="15.5" x14ac:dyDescent="0.3">
      <c r="A273" s="3" t="s">
        <v>360</v>
      </c>
      <c r="B273" s="2" t="s">
        <v>351</v>
      </c>
      <c r="C273" s="2" t="s">
        <v>361</v>
      </c>
      <c r="D273" s="24">
        <f>SUMIFS(出入庫!F:F,出入庫!E:E,"入庫",出入庫!B:B,表格2[[#This Row],[料號]])-SUMIFS(出入庫!F:F,出入庫!E:E,"出庫",出入庫!B:B,表格2[[#This Row],[料號]])</f>
        <v>3185</v>
      </c>
      <c r="E273" s="24"/>
      <c r="F273" s="65"/>
      <c r="G273" s="65"/>
      <c r="H273" s="65"/>
      <c r="I273" s="65"/>
    </row>
    <row r="274" spans="1:9" ht="17" x14ac:dyDescent="0.3">
      <c r="A274" s="3" t="s">
        <v>362</v>
      </c>
      <c r="B274" s="2" t="s">
        <v>351</v>
      </c>
      <c r="C274" s="2" t="s">
        <v>710</v>
      </c>
      <c r="D274" s="24">
        <f>SUMIFS(出入庫!F:F,出入庫!E:E,"入庫",出入庫!B:B,表格2[[#This Row],[料號]])-SUMIFS(出入庫!F:F,出入庫!E:E,"出庫",出入庫!B:B,表格2[[#This Row],[料號]])</f>
        <v>2356</v>
      </c>
      <c r="E274" s="24"/>
      <c r="F274" s="65"/>
      <c r="G274" s="65"/>
      <c r="H274" s="65"/>
      <c r="I274" s="65"/>
    </row>
    <row r="275" spans="1:9" ht="15.5" x14ac:dyDescent="0.3">
      <c r="A275" s="3" t="s">
        <v>363</v>
      </c>
      <c r="B275" s="2" t="s">
        <v>351</v>
      </c>
      <c r="C275" s="2" t="s">
        <v>364</v>
      </c>
      <c r="D275" s="24">
        <f>SUMIFS(出入庫!F:F,出入庫!E:E,"入庫",出入庫!B:B,表格2[[#This Row],[料號]])-SUMIFS(出入庫!F:F,出入庫!E:E,"出庫",出入庫!B:B,表格2[[#This Row],[料號]])</f>
        <v>2400</v>
      </c>
      <c r="E275" s="24"/>
      <c r="F275" s="65" t="s">
        <v>1132</v>
      </c>
      <c r="G275" s="65"/>
      <c r="H275" s="65"/>
      <c r="I275" s="65"/>
    </row>
    <row r="276" spans="1:9" ht="17" x14ac:dyDescent="0.3">
      <c r="A276" s="3" t="s">
        <v>365</v>
      </c>
      <c r="B276" s="2" t="s">
        <v>351</v>
      </c>
      <c r="C276" s="2" t="s">
        <v>711</v>
      </c>
      <c r="D276" s="24">
        <f>SUMIFS(出入庫!F:F,出入庫!E:E,"入庫",出入庫!B:B,表格2[[#This Row],[料號]])-SUMIFS(出入庫!F:F,出入庫!E:E,"出庫",出入庫!B:B,表格2[[#This Row],[料號]])</f>
        <v>0</v>
      </c>
      <c r="E276" s="24"/>
      <c r="F276" s="65"/>
      <c r="G276" s="65"/>
      <c r="H276" s="65"/>
      <c r="I276" s="65"/>
    </row>
    <row r="277" spans="1:9" ht="15.5" x14ac:dyDescent="0.3">
      <c r="A277" s="3" t="s">
        <v>366</v>
      </c>
      <c r="B277" s="2" t="s">
        <v>351</v>
      </c>
      <c r="C277" s="2" t="s">
        <v>367</v>
      </c>
      <c r="D277" s="24">
        <f>SUMIFS(出入庫!F:F,出入庫!E:E,"入庫",出入庫!B:B,表格2[[#This Row],[料號]])-SUMIFS(出入庫!F:F,出入庫!E:E,"出庫",出入庫!B:B,表格2[[#This Row],[料號]])</f>
        <v>0</v>
      </c>
      <c r="E277" s="24"/>
      <c r="F277" s="65"/>
      <c r="G277" s="65"/>
      <c r="H277" s="65"/>
      <c r="I277" s="65"/>
    </row>
    <row r="278" spans="1:9" ht="15.5" x14ac:dyDescent="0.3">
      <c r="A278" s="3" t="s">
        <v>368</v>
      </c>
      <c r="B278" s="2" t="s">
        <v>351</v>
      </c>
      <c r="C278" s="2" t="s">
        <v>369</v>
      </c>
      <c r="D278" s="24">
        <f>SUMIFS(出入庫!F:F,出入庫!E:E,"入庫",出入庫!B:B,表格2[[#This Row],[料號]])-SUMIFS(出入庫!F:F,出入庫!E:E,"出庫",出入庫!B:B,表格2[[#This Row],[料號]])</f>
        <v>0</v>
      </c>
      <c r="E278" s="24"/>
      <c r="F278" s="65"/>
      <c r="G278" s="65"/>
      <c r="H278" s="65"/>
      <c r="I278" s="65"/>
    </row>
    <row r="279" spans="1:9" ht="17" x14ac:dyDescent="0.3">
      <c r="A279" s="3" t="s">
        <v>370</v>
      </c>
      <c r="B279" s="2" t="s">
        <v>351</v>
      </c>
      <c r="C279" s="2" t="s">
        <v>1177</v>
      </c>
      <c r="D279" s="24">
        <f>SUMIFS(出入庫!F:F,出入庫!E:E,"入庫",出入庫!B:B,表格2[[#This Row],[料號]])-SUMIFS(出入庫!F:F,出入庫!E:E,"出庫",出入庫!B:B,表格2[[#This Row],[料號]])</f>
        <v>0</v>
      </c>
      <c r="E279" s="24"/>
      <c r="F279" s="65"/>
      <c r="G279" s="65"/>
      <c r="H279" s="67" t="s">
        <v>1178</v>
      </c>
      <c r="I279" s="65"/>
    </row>
    <row r="280" spans="1:9" ht="15.5" x14ac:dyDescent="0.3">
      <c r="A280" s="3" t="s">
        <v>371</v>
      </c>
      <c r="B280" s="2" t="s">
        <v>351</v>
      </c>
      <c r="C280" s="2" t="s">
        <v>372</v>
      </c>
      <c r="D280" s="24">
        <f>SUMIFS(出入庫!F:F,出入庫!E:E,"入庫",出入庫!B:B,表格2[[#This Row],[料號]])-SUMIFS(出入庫!F:F,出入庫!E:E,"出庫",出入庫!B:B,表格2[[#This Row],[料號]])</f>
        <v>0</v>
      </c>
      <c r="E280" s="24"/>
      <c r="F280" s="65"/>
      <c r="G280" s="65"/>
      <c r="H280" s="65"/>
      <c r="I280" s="65"/>
    </row>
    <row r="281" spans="1:9" ht="15.5" x14ac:dyDescent="0.3">
      <c r="A281" s="3" t="s">
        <v>373</v>
      </c>
      <c r="B281" s="2" t="s">
        <v>351</v>
      </c>
      <c r="C281" s="2" t="s">
        <v>1179</v>
      </c>
      <c r="D281" s="24">
        <f>SUMIFS(出入庫!F:F,出入庫!E:E,"入庫",出入庫!B:B,表格2[[#This Row],[料號]])-SUMIFS(出入庫!F:F,出入庫!E:E,"出庫",出入庫!B:B,表格2[[#This Row],[料號]])</f>
        <v>0</v>
      </c>
      <c r="E281" s="24"/>
      <c r="F281" s="65"/>
      <c r="G281" s="65"/>
      <c r="H281" s="65" t="s">
        <v>1180</v>
      </c>
      <c r="I281" s="65"/>
    </row>
    <row r="282" spans="1:9" ht="15.5" x14ac:dyDescent="0.3">
      <c r="A282" s="3" t="s">
        <v>374</v>
      </c>
      <c r="B282" s="2" t="s">
        <v>351</v>
      </c>
      <c r="C282" s="2" t="s">
        <v>375</v>
      </c>
      <c r="D282" s="24">
        <f>SUMIFS(出入庫!F:F,出入庫!E:E,"入庫",出入庫!B:B,表格2[[#This Row],[料號]])-SUMIFS(出入庫!F:F,出入庫!E:E,"出庫",出入庫!B:B,表格2[[#This Row],[料號]])</f>
        <v>0</v>
      </c>
      <c r="E282" s="24"/>
      <c r="F282" s="65"/>
      <c r="G282" s="65"/>
      <c r="H282" s="65"/>
      <c r="I282" s="65"/>
    </row>
    <row r="283" spans="1:9" ht="15.5" x14ac:dyDescent="0.3">
      <c r="A283" s="3" t="s">
        <v>376</v>
      </c>
      <c r="B283" s="2" t="s">
        <v>351</v>
      </c>
      <c r="C283" s="2" t="s">
        <v>377</v>
      </c>
      <c r="D283" s="24">
        <f>SUMIFS(出入庫!F:F,出入庫!E:E,"入庫",出入庫!B:B,表格2[[#This Row],[料號]])-SUMIFS(出入庫!F:F,出入庫!E:E,"出庫",出入庫!B:B,表格2[[#This Row],[料號]])</f>
        <v>0</v>
      </c>
      <c r="E283" s="24"/>
      <c r="F283" s="65"/>
      <c r="G283" s="65"/>
      <c r="H283" s="65"/>
      <c r="I283" s="65"/>
    </row>
    <row r="284" spans="1:9" ht="17" x14ac:dyDescent="0.3">
      <c r="A284" s="3" t="s">
        <v>378</v>
      </c>
      <c r="B284" s="2" t="s">
        <v>379</v>
      </c>
      <c r="C284" s="2" t="s">
        <v>712</v>
      </c>
      <c r="D284" s="24">
        <f>SUMIFS(出入庫!F:F,出入庫!E:E,"入庫",出入庫!B:B,表格2[[#This Row],[料號]])-SUMIFS(出入庫!F:F,出入庫!E:E,"出庫",出入庫!B:B,表格2[[#This Row],[料號]])</f>
        <v>33</v>
      </c>
      <c r="E284" s="24"/>
      <c r="F284" s="65" t="s">
        <v>1133</v>
      </c>
      <c r="G284" s="65"/>
      <c r="H284" s="65"/>
      <c r="I284" s="65"/>
    </row>
    <row r="285" spans="1:9" ht="17" x14ac:dyDescent="0.3">
      <c r="A285" s="3" t="s">
        <v>380</v>
      </c>
      <c r="B285" s="2" t="s">
        <v>379</v>
      </c>
      <c r="C285" s="2" t="s">
        <v>713</v>
      </c>
      <c r="D285" s="24">
        <f>SUMIFS(出入庫!F:F,出入庫!E:E,"入庫",出入庫!B:B,表格2[[#This Row],[料號]])-SUMIFS(出入庫!F:F,出入庫!E:E,"出庫",出入庫!B:B,表格2[[#This Row],[料號]])</f>
        <v>563</v>
      </c>
      <c r="E285" s="24"/>
      <c r="F285" s="65" t="s">
        <v>1133</v>
      </c>
      <c r="G285" s="65"/>
      <c r="H285" s="65"/>
      <c r="I285" s="65"/>
    </row>
    <row r="286" spans="1:9" ht="17" x14ac:dyDescent="0.3">
      <c r="A286" s="3" t="s">
        <v>381</v>
      </c>
      <c r="B286" s="2" t="s">
        <v>379</v>
      </c>
      <c r="C286" s="2" t="s">
        <v>714</v>
      </c>
      <c r="D286" s="24">
        <f>SUMIFS(出入庫!F:F,出入庫!E:E,"入庫",出入庫!B:B,表格2[[#This Row],[料號]])-SUMIFS(出入庫!F:F,出入庫!E:E,"出庫",出入庫!B:B,表格2[[#This Row],[料號]])</f>
        <v>3957</v>
      </c>
      <c r="E286" s="24"/>
      <c r="F286" s="65" t="s">
        <v>1133</v>
      </c>
      <c r="G286" s="65"/>
      <c r="H286" s="65"/>
      <c r="I286" s="65"/>
    </row>
    <row r="287" spans="1:9" ht="17" x14ac:dyDescent="0.3">
      <c r="A287" s="3" t="s">
        <v>382</v>
      </c>
      <c r="B287" s="2" t="s">
        <v>379</v>
      </c>
      <c r="C287" s="2" t="s">
        <v>715</v>
      </c>
      <c r="D287" s="24">
        <f>SUMIFS(出入庫!F:F,出入庫!E:E,"入庫",出入庫!B:B,表格2[[#This Row],[料號]])-SUMIFS(出入庫!F:F,出入庫!E:E,"出庫",出入庫!B:B,表格2[[#This Row],[料號]])</f>
        <v>0</v>
      </c>
      <c r="E287" s="24"/>
      <c r="F287" s="65"/>
      <c r="G287" s="65"/>
      <c r="H287" s="65"/>
      <c r="I287" s="65"/>
    </row>
    <row r="288" spans="1:9" ht="15.5" x14ac:dyDescent="0.3">
      <c r="A288" s="3" t="s">
        <v>383</v>
      </c>
      <c r="B288" s="2" t="s">
        <v>379</v>
      </c>
      <c r="C288" s="2" t="s">
        <v>384</v>
      </c>
      <c r="D288" s="24">
        <f>SUMIFS(出入庫!F:F,出入庫!E:E,"入庫",出入庫!B:B,表格2[[#This Row],[料號]])-SUMIFS(出入庫!F:F,出入庫!E:E,"出庫",出入庫!B:B,表格2[[#This Row],[料號]])</f>
        <v>0</v>
      </c>
      <c r="E288" s="24"/>
      <c r="F288" s="65"/>
      <c r="G288" s="65"/>
      <c r="H288" s="65"/>
      <c r="I288" s="65"/>
    </row>
    <row r="289" spans="1:9" ht="15.5" x14ac:dyDescent="0.3">
      <c r="A289" s="3" t="s">
        <v>385</v>
      </c>
      <c r="B289" s="2" t="s">
        <v>379</v>
      </c>
      <c r="C289" s="2" t="s">
        <v>386</v>
      </c>
      <c r="D289" s="24">
        <f>SUMIFS(出入庫!F:F,出入庫!E:E,"入庫",出入庫!B:B,表格2[[#This Row],[料號]])-SUMIFS(出入庫!F:F,出入庫!E:E,"出庫",出入庫!B:B,表格2[[#This Row],[料號]])</f>
        <v>0</v>
      </c>
      <c r="E289" s="24"/>
      <c r="F289" s="65"/>
      <c r="G289" s="65"/>
      <c r="H289" s="65"/>
      <c r="I289" s="65"/>
    </row>
    <row r="290" spans="1:9" ht="15.5" x14ac:dyDescent="0.3">
      <c r="A290" s="3" t="s">
        <v>387</v>
      </c>
      <c r="B290" s="2" t="s">
        <v>379</v>
      </c>
      <c r="C290" s="2" t="s">
        <v>388</v>
      </c>
      <c r="D290" s="24">
        <f>SUMIFS(出入庫!F:F,出入庫!E:E,"入庫",出入庫!B:B,表格2[[#This Row],[料號]])-SUMIFS(出入庫!F:F,出入庫!E:E,"出庫",出入庫!B:B,表格2[[#This Row],[料號]])</f>
        <v>0</v>
      </c>
      <c r="E290" s="24"/>
      <c r="F290" s="65"/>
      <c r="G290" s="65"/>
      <c r="H290" s="65"/>
      <c r="I290" s="65"/>
    </row>
    <row r="291" spans="1:9" ht="15.5" x14ac:dyDescent="0.3">
      <c r="A291" s="3" t="s">
        <v>389</v>
      </c>
      <c r="B291" s="2" t="s">
        <v>379</v>
      </c>
      <c r="C291" s="2" t="s">
        <v>390</v>
      </c>
      <c r="D291" s="24">
        <f>SUMIFS(出入庫!F:F,出入庫!E:E,"入庫",出入庫!B:B,表格2[[#This Row],[料號]])-SUMIFS(出入庫!F:F,出入庫!E:E,"出庫",出入庫!B:B,表格2[[#This Row],[料號]])</f>
        <v>0</v>
      </c>
      <c r="E291" s="24"/>
      <c r="F291" s="65"/>
      <c r="G291" s="65"/>
      <c r="H291" s="65"/>
      <c r="I291" s="65"/>
    </row>
    <row r="292" spans="1:9" ht="15.5" x14ac:dyDescent="0.3">
      <c r="A292" s="3" t="s">
        <v>391</v>
      </c>
      <c r="B292" s="2" t="s">
        <v>392</v>
      </c>
      <c r="C292" s="2" t="s">
        <v>393</v>
      </c>
      <c r="D292" s="24">
        <f>SUMIFS(出入庫!F:F,出入庫!E:E,"入庫",出入庫!B:B,表格2[[#This Row],[料號]])-SUMIFS(出入庫!F:F,出入庫!E:E,"出庫",出入庫!B:B,表格2[[#This Row],[料號]])</f>
        <v>0</v>
      </c>
      <c r="E292" s="24"/>
      <c r="F292" s="65"/>
      <c r="G292" s="65"/>
      <c r="H292" s="65"/>
      <c r="I292" s="65"/>
    </row>
    <row r="293" spans="1:9" ht="15.5" x14ac:dyDescent="0.3">
      <c r="A293" s="3" t="s">
        <v>394</v>
      </c>
      <c r="B293" s="2" t="s">
        <v>392</v>
      </c>
      <c r="C293" s="2" t="s">
        <v>395</v>
      </c>
      <c r="D293" s="24">
        <f>SUMIFS(出入庫!F:F,出入庫!E:E,"入庫",出入庫!B:B,表格2[[#This Row],[料號]])-SUMIFS(出入庫!F:F,出入庫!E:E,"出庫",出入庫!B:B,表格2[[#This Row],[料號]])</f>
        <v>0</v>
      </c>
      <c r="E293" s="24"/>
      <c r="F293" s="65"/>
      <c r="G293" s="65"/>
      <c r="H293" s="65"/>
      <c r="I293" s="65"/>
    </row>
    <row r="294" spans="1:9" ht="17" x14ac:dyDescent="0.3">
      <c r="A294" s="3" t="s">
        <v>983</v>
      </c>
      <c r="B294" s="2" t="s">
        <v>716</v>
      </c>
      <c r="C294" s="2" t="s">
        <v>717</v>
      </c>
      <c r="D294" s="24">
        <f>SUMIFS(出入庫!F:F,出入庫!E:E,"入庫",出入庫!B:B,表格2[[#This Row],[料號]])-SUMIFS(出入庫!F:F,出入庫!E:E,"出庫",出入庫!B:B,表格2[[#This Row],[料號]])</f>
        <v>2102</v>
      </c>
      <c r="E294" s="24"/>
      <c r="F294" s="65"/>
      <c r="G294" s="65"/>
      <c r="H294" s="65"/>
      <c r="I294" s="65"/>
    </row>
    <row r="295" spans="1:9" ht="17" x14ac:dyDescent="0.3">
      <c r="A295" s="3" t="s">
        <v>397</v>
      </c>
      <c r="B295" s="2" t="s">
        <v>398</v>
      </c>
      <c r="C295" s="2" t="s">
        <v>718</v>
      </c>
      <c r="D295" s="24">
        <f>SUMIFS(出入庫!F:F,出入庫!E:E,"入庫",出入庫!B:B,表格2[[#This Row],[料號]])-SUMIFS(出入庫!F:F,出入庫!E:E,"出庫",出入庫!B:B,表格2[[#This Row],[料號]])</f>
        <v>9</v>
      </c>
      <c r="E295" s="24"/>
      <c r="F295" s="65" t="s">
        <v>1132</v>
      </c>
      <c r="G295" s="65"/>
      <c r="H295" s="65"/>
      <c r="I295" s="65"/>
    </row>
    <row r="296" spans="1:9" ht="17" x14ac:dyDescent="0.3">
      <c r="A296" s="3" t="s">
        <v>399</v>
      </c>
      <c r="B296" s="2" t="s">
        <v>398</v>
      </c>
      <c r="C296" s="2" t="s">
        <v>719</v>
      </c>
      <c r="D296" s="24">
        <f>SUMIFS(出入庫!F:F,出入庫!E:E,"入庫",出入庫!B:B,表格2[[#This Row],[料號]])-SUMIFS(出入庫!F:F,出入庫!E:E,"出庫",出入庫!B:B,表格2[[#This Row],[料號]])</f>
        <v>722</v>
      </c>
      <c r="E296" s="24"/>
      <c r="F296" s="65"/>
      <c r="G296" s="65"/>
      <c r="H296" s="65"/>
      <c r="I296" s="65"/>
    </row>
    <row r="297" spans="1:9" ht="17" x14ac:dyDescent="0.3">
      <c r="A297" s="3" t="s">
        <v>400</v>
      </c>
      <c r="B297" s="2" t="s">
        <v>398</v>
      </c>
      <c r="C297" s="2" t="s">
        <v>720</v>
      </c>
      <c r="D297" s="24">
        <f>SUMIFS(出入庫!F:F,出入庫!E:E,"入庫",出入庫!B:B,表格2[[#This Row],[料號]])-SUMIFS(出入庫!F:F,出入庫!E:E,"出庫",出入庫!B:B,表格2[[#This Row],[料號]])</f>
        <v>909</v>
      </c>
      <c r="E297" s="24"/>
      <c r="F297" s="65"/>
      <c r="G297" s="65"/>
      <c r="H297" s="65"/>
      <c r="I297" s="65"/>
    </row>
    <row r="298" spans="1:9" ht="17" x14ac:dyDescent="0.3">
      <c r="A298" s="3" t="s">
        <v>401</v>
      </c>
      <c r="B298" s="2" t="s">
        <v>398</v>
      </c>
      <c r="C298" s="2" t="s">
        <v>721</v>
      </c>
      <c r="D298" s="24">
        <f>SUMIFS(出入庫!F:F,出入庫!E:E,"入庫",出入庫!B:B,表格2[[#This Row],[料號]])-SUMIFS(出入庫!F:F,出入庫!E:E,"出庫",出入庫!B:B,表格2[[#This Row],[料號]])</f>
        <v>0</v>
      </c>
      <c r="E298" s="24"/>
      <c r="F298" s="65"/>
      <c r="G298" s="65"/>
      <c r="H298" s="65"/>
      <c r="I298" s="65"/>
    </row>
    <row r="299" spans="1:9" ht="17" x14ac:dyDescent="0.3">
      <c r="A299" s="3" t="s">
        <v>402</v>
      </c>
      <c r="B299" s="2" t="s">
        <v>398</v>
      </c>
      <c r="C299" s="2" t="s">
        <v>722</v>
      </c>
      <c r="D299" s="24">
        <f>SUMIFS(出入庫!F:F,出入庫!E:E,"入庫",出入庫!B:B,表格2[[#This Row],[料號]])-SUMIFS(出入庫!F:F,出入庫!E:E,"出庫",出入庫!B:B,表格2[[#This Row],[料號]])</f>
        <v>0</v>
      </c>
      <c r="E299" s="24"/>
      <c r="F299" s="65"/>
      <c r="G299" s="65"/>
      <c r="H299" s="65"/>
      <c r="I299" s="65"/>
    </row>
    <row r="300" spans="1:9" ht="17" x14ac:dyDescent="0.3">
      <c r="A300" s="3" t="s">
        <v>403</v>
      </c>
      <c r="B300" s="2" t="s">
        <v>398</v>
      </c>
      <c r="C300" s="2" t="s">
        <v>723</v>
      </c>
      <c r="D300" s="24">
        <f>SUMIFS(出入庫!F:F,出入庫!E:E,"入庫",出入庫!B:B,表格2[[#This Row],[料號]])-SUMIFS(出入庫!F:F,出入庫!E:E,"出庫",出入庫!B:B,表格2[[#This Row],[料號]])</f>
        <v>0</v>
      </c>
      <c r="E300" s="24"/>
      <c r="F300" s="65"/>
      <c r="G300" s="65"/>
      <c r="H300" s="65"/>
      <c r="I300" s="65"/>
    </row>
    <row r="301" spans="1:9" ht="17" x14ac:dyDescent="0.3">
      <c r="A301" s="3" t="s">
        <v>404</v>
      </c>
      <c r="B301" s="2" t="s">
        <v>405</v>
      </c>
      <c r="C301" s="2" t="s">
        <v>724</v>
      </c>
      <c r="D301" s="24">
        <f>SUMIFS(出入庫!F:F,出入庫!E:E,"入庫",出入庫!B:B,表格2[[#This Row],[料號]])-SUMIFS(出入庫!F:F,出入庫!E:E,"出庫",出入庫!B:B,表格2[[#This Row],[料號]])</f>
        <v>1009</v>
      </c>
      <c r="E301" s="24"/>
      <c r="F301" s="65"/>
      <c r="G301" s="65"/>
      <c r="H301" s="65"/>
      <c r="I301" s="65"/>
    </row>
    <row r="302" spans="1:9" ht="17" x14ac:dyDescent="0.3">
      <c r="A302" s="3" t="s">
        <v>406</v>
      </c>
      <c r="B302" s="2" t="s">
        <v>405</v>
      </c>
      <c r="C302" s="2" t="s">
        <v>725</v>
      </c>
      <c r="D302" s="24">
        <f>SUMIFS(出入庫!F:F,出入庫!E:E,"入庫",出入庫!B:B,表格2[[#This Row],[料號]])-SUMIFS(出入庫!F:F,出入庫!E:E,"出庫",出入庫!B:B,表格2[[#This Row],[料號]])</f>
        <v>988</v>
      </c>
      <c r="E302" s="24"/>
      <c r="F302" s="65"/>
      <c r="G302" s="65"/>
      <c r="H302" s="65"/>
      <c r="I302" s="65"/>
    </row>
    <row r="303" spans="1:9" ht="17" x14ac:dyDescent="0.3">
      <c r="A303" s="3" t="s">
        <v>1034</v>
      </c>
      <c r="B303" s="2" t="s">
        <v>408</v>
      </c>
      <c r="C303" s="2" t="s">
        <v>726</v>
      </c>
      <c r="D303" s="24">
        <f>SUMIFS(出入庫!F:F,出入庫!E:E,"入庫",出入庫!B:B,表格2[[#This Row],[料號]])-SUMIFS(出入庫!F:F,出入庫!E:E,"出庫",出入庫!B:B,表格2[[#This Row],[料號]])</f>
        <v>1007</v>
      </c>
      <c r="E303" s="24"/>
      <c r="F303" s="7" t="s">
        <v>1101</v>
      </c>
      <c r="G303" s="65"/>
      <c r="H303" s="67" t="s">
        <v>1175</v>
      </c>
      <c r="I303" s="65"/>
    </row>
    <row r="304" spans="1:9" ht="17" x14ac:dyDescent="0.3">
      <c r="A304" s="3" t="s">
        <v>409</v>
      </c>
      <c r="B304" s="2" t="s">
        <v>408</v>
      </c>
      <c r="C304" s="2" t="s">
        <v>727</v>
      </c>
      <c r="D304" s="24">
        <f>SUMIFS(出入庫!F:F,出入庫!E:E,"入庫",出入庫!B:B,表格2[[#This Row],[料號]])-SUMIFS(出入庫!F:F,出入庫!E:E,"出庫",出入庫!B:B,表格2[[#This Row],[料號]])</f>
        <v>210</v>
      </c>
      <c r="E304" s="24"/>
      <c r="F304" s="7" t="s">
        <v>1101</v>
      </c>
      <c r="G304" s="65"/>
      <c r="H304" s="67" t="s">
        <v>1175</v>
      </c>
      <c r="I304" s="65"/>
    </row>
    <row r="305" spans="1:9" ht="17" x14ac:dyDescent="0.3">
      <c r="A305" s="3" t="s">
        <v>1046</v>
      </c>
      <c r="B305" s="2" t="s">
        <v>408</v>
      </c>
      <c r="C305" s="2" t="s">
        <v>728</v>
      </c>
      <c r="D305" s="24">
        <f>SUMIFS(出入庫!F:F,出入庫!E:E,"入庫",出入庫!B:B,表格2[[#This Row],[料號]])-SUMIFS(出入庫!F:F,出入庫!E:E,"出庫",出入庫!B:B,表格2[[#This Row],[料號]])</f>
        <v>466</v>
      </c>
      <c r="E305" s="24"/>
      <c r="F305" s="7" t="s">
        <v>1101</v>
      </c>
      <c r="G305" s="65"/>
      <c r="H305" s="67" t="s">
        <v>1175</v>
      </c>
      <c r="I305" s="65"/>
    </row>
    <row r="306" spans="1:9" ht="17" x14ac:dyDescent="0.3">
      <c r="A306" s="3" t="s">
        <v>411</v>
      </c>
      <c r="B306" s="2" t="s">
        <v>408</v>
      </c>
      <c r="C306" s="2" t="s">
        <v>729</v>
      </c>
      <c r="D306" s="24">
        <f>SUMIFS(出入庫!F:F,出入庫!E:E,"入庫",出入庫!B:B,表格2[[#This Row],[料號]])-SUMIFS(出入庫!F:F,出入庫!E:E,"出庫",出入庫!B:B,表格2[[#This Row],[料號]])</f>
        <v>0</v>
      </c>
      <c r="E306" s="24"/>
      <c r="F306" s="7" t="s">
        <v>1101</v>
      </c>
      <c r="G306" s="65"/>
      <c r="H306" s="67" t="s">
        <v>1175</v>
      </c>
      <c r="I306" s="65"/>
    </row>
    <row r="307" spans="1:9" ht="17" x14ac:dyDescent="0.3">
      <c r="A307" s="3" t="s">
        <v>412</v>
      </c>
      <c r="B307" s="2" t="s">
        <v>408</v>
      </c>
      <c r="C307" s="2" t="s">
        <v>730</v>
      </c>
      <c r="D307" s="24">
        <f>SUMIFS(出入庫!F:F,出入庫!E:E,"入庫",出入庫!B:B,表格2[[#This Row],[料號]])-SUMIFS(出入庫!F:F,出入庫!E:E,"出庫",出入庫!B:B,表格2[[#This Row],[料號]])</f>
        <v>700</v>
      </c>
      <c r="E307" s="24"/>
      <c r="F307" s="7" t="s">
        <v>1101</v>
      </c>
      <c r="G307" s="65"/>
      <c r="H307" s="67" t="s">
        <v>1175</v>
      </c>
      <c r="I307" s="65"/>
    </row>
    <row r="308" spans="1:9" ht="17" x14ac:dyDescent="0.3">
      <c r="A308" s="3" t="s">
        <v>413</v>
      </c>
      <c r="B308" s="2" t="s">
        <v>408</v>
      </c>
      <c r="C308" s="2" t="s">
        <v>731</v>
      </c>
      <c r="D308" s="24">
        <f>SUMIFS(出入庫!F:F,出入庫!E:E,"入庫",出入庫!B:B,表格2[[#This Row],[料號]])-SUMIFS(出入庫!F:F,出入庫!E:E,"出庫",出入庫!B:B,表格2[[#This Row],[料號]])</f>
        <v>0</v>
      </c>
      <c r="E308" s="24"/>
      <c r="F308" s="7" t="s">
        <v>1101</v>
      </c>
      <c r="G308" s="65"/>
      <c r="H308" s="67" t="s">
        <v>1175</v>
      </c>
      <c r="I308" s="65"/>
    </row>
    <row r="309" spans="1:9" ht="17" x14ac:dyDescent="0.3">
      <c r="A309" s="3" t="s">
        <v>414</v>
      </c>
      <c r="B309" s="2" t="s">
        <v>408</v>
      </c>
      <c r="C309" s="2" t="s">
        <v>732</v>
      </c>
      <c r="D309" s="24">
        <f>SUMIFS(出入庫!F:F,出入庫!E:E,"入庫",出入庫!B:B,表格2[[#This Row],[料號]])-SUMIFS(出入庫!F:F,出入庫!E:E,"出庫",出入庫!B:B,表格2[[#This Row],[料號]])</f>
        <v>200</v>
      </c>
      <c r="E309" s="24"/>
      <c r="F309" s="7" t="s">
        <v>1101</v>
      </c>
      <c r="G309" s="65"/>
      <c r="H309" s="67" t="s">
        <v>1175</v>
      </c>
      <c r="I309" s="65"/>
    </row>
    <row r="310" spans="1:9" ht="17" x14ac:dyDescent="0.3">
      <c r="A310" s="3" t="s">
        <v>415</v>
      </c>
      <c r="B310" s="2" t="s">
        <v>408</v>
      </c>
      <c r="C310" s="2" t="s">
        <v>733</v>
      </c>
      <c r="D310" s="24">
        <f>SUMIFS(出入庫!F:F,出入庫!E:E,"入庫",出入庫!B:B,表格2[[#This Row],[料號]])-SUMIFS(出入庫!F:F,出入庫!E:E,"出庫",出入庫!B:B,表格2[[#This Row],[料號]])</f>
        <v>676</v>
      </c>
      <c r="E310" s="24"/>
      <c r="F310" s="7" t="s">
        <v>1101</v>
      </c>
      <c r="G310" s="65"/>
      <c r="H310" s="67" t="s">
        <v>1175</v>
      </c>
      <c r="I310" s="65"/>
    </row>
    <row r="311" spans="1:9" ht="17" x14ac:dyDescent="0.3">
      <c r="A311" s="3" t="s">
        <v>416</v>
      </c>
      <c r="B311" s="2" t="s">
        <v>408</v>
      </c>
      <c r="C311" s="2" t="s">
        <v>734</v>
      </c>
      <c r="D311" s="24">
        <f>SUMIFS(出入庫!F:F,出入庫!E:E,"入庫",出入庫!B:B,表格2[[#This Row],[料號]])-SUMIFS(出入庫!F:F,出入庫!E:E,"出庫",出入庫!B:B,表格2[[#This Row],[料號]])</f>
        <v>590</v>
      </c>
      <c r="E311" s="24"/>
      <c r="F311" s="7" t="s">
        <v>1101</v>
      </c>
      <c r="G311" s="65"/>
      <c r="H311" s="67" t="s">
        <v>1175</v>
      </c>
      <c r="I311" s="65"/>
    </row>
    <row r="312" spans="1:9" ht="17" x14ac:dyDescent="0.3">
      <c r="A312" s="3" t="s">
        <v>990</v>
      </c>
      <c r="B312" s="2" t="s">
        <v>408</v>
      </c>
      <c r="C312" s="2" t="s">
        <v>735</v>
      </c>
      <c r="D312" s="24">
        <f>SUMIFS(出入庫!F:F,出入庫!E:E,"入庫",出入庫!B:B,表格2[[#This Row],[料號]])-SUMIFS(出入庫!F:F,出入庫!E:E,"出庫",出入庫!B:B,表格2[[#This Row],[料號]])</f>
        <v>309</v>
      </c>
      <c r="E312" s="24"/>
      <c r="F312" s="7" t="s">
        <v>1101</v>
      </c>
      <c r="G312" s="65"/>
      <c r="H312" s="67" t="s">
        <v>1175</v>
      </c>
      <c r="I312" s="65"/>
    </row>
    <row r="313" spans="1:9" ht="17" x14ac:dyDescent="0.3">
      <c r="A313" s="3" t="s">
        <v>988</v>
      </c>
      <c r="B313" s="2" t="s">
        <v>408</v>
      </c>
      <c r="C313" s="2" t="s">
        <v>736</v>
      </c>
      <c r="D313" s="24">
        <f>SUMIFS(出入庫!F:F,出入庫!E:E,"入庫",出入庫!B:B,表格2[[#This Row],[料號]])-SUMIFS(出入庫!F:F,出入庫!E:E,"出庫",出入庫!B:B,表格2[[#This Row],[料號]])</f>
        <v>1063</v>
      </c>
      <c r="E313" s="24"/>
      <c r="F313" s="7" t="s">
        <v>1101</v>
      </c>
      <c r="G313" s="65"/>
      <c r="H313" s="67" t="s">
        <v>1175</v>
      </c>
      <c r="I313" s="65"/>
    </row>
    <row r="314" spans="1:9" ht="17" x14ac:dyDescent="0.3">
      <c r="A314" s="3" t="s">
        <v>419</v>
      </c>
      <c r="B314" s="2" t="s">
        <v>408</v>
      </c>
      <c r="C314" s="2" t="s">
        <v>737</v>
      </c>
      <c r="D314" s="24">
        <f>SUMIFS(出入庫!F:F,出入庫!E:E,"入庫",出入庫!B:B,表格2[[#This Row],[料號]])-SUMIFS(出入庫!F:F,出入庫!E:E,"出庫",出入庫!B:B,表格2[[#This Row],[料號]])</f>
        <v>0</v>
      </c>
      <c r="E314" s="24"/>
      <c r="F314" s="7" t="s">
        <v>1101</v>
      </c>
      <c r="G314" s="65"/>
      <c r="H314" s="67" t="s">
        <v>1175</v>
      </c>
      <c r="I314" s="65"/>
    </row>
    <row r="315" spans="1:9" ht="17" x14ac:dyDescent="0.3">
      <c r="A315" s="3" t="s">
        <v>420</v>
      </c>
      <c r="B315" s="2" t="s">
        <v>408</v>
      </c>
      <c r="C315" s="2" t="s">
        <v>738</v>
      </c>
      <c r="D315" s="24">
        <f>SUMIFS(出入庫!F:F,出入庫!E:E,"入庫",出入庫!B:B,表格2[[#This Row],[料號]])-SUMIFS(出入庫!F:F,出入庫!E:E,"出庫",出入庫!B:B,表格2[[#This Row],[料號]])</f>
        <v>0</v>
      </c>
      <c r="E315" s="24"/>
      <c r="F315" s="7" t="s">
        <v>1101</v>
      </c>
      <c r="G315" s="65"/>
      <c r="H315" s="67" t="s">
        <v>1175</v>
      </c>
      <c r="I315" s="65"/>
    </row>
    <row r="316" spans="1:9" ht="17" x14ac:dyDescent="0.3">
      <c r="A316" s="3" t="s">
        <v>421</v>
      </c>
      <c r="B316" s="2" t="s">
        <v>408</v>
      </c>
      <c r="C316" s="2" t="s">
        <v>739</v>
      </c>
      <c r="D316" s="24">
        <f>SUMIFS(出入庫!F:F,出入庫!E:E,"入庫",出入庫!B:B,表格2[[#This Row],[料號]])-SUMIFS(出入庫!F:F,出入庫!E:E,"出庫",出入庫!B:B,表格2[[#This Row],[料號]])</f>
        <v>0</v>
      </c>
      <c r="E316" s="24"/>
      <c r="F316" s="7" t="s">
        <v>1101</v>
      </c>
      <c r="G316" s="65"/>
      <c r="H316" s="67" t="s">
        <v>1175</v>
      </c>
      <c r="I316" s="65"/>
    </row>
    <row r="317" spans="1:9" ht="17" x14ac:dyDescent="0.3">
      <c r="A317" s="3" t="s">
        <v>422</v>
      </c>
      <c r="B317" s="2" t="s">
        <v>408</v>
      </c>
      <c r="C317" s="2" t="s">
        <v>740</v>
      </c>
      <c r="D317" s="24">
        <f>SUMIFS(出入庫!F:F,出入庫!E:E,"入庫",出入庫!B:B,表格2[[#This Row],[料號]])-SUMIFS(出入庫!F:F,出入庫!E:E,"出庫",出入庫!B:B,表格2[[#This Row],[料號]])</f>
        <v>0</v>
      </c>
      <c r="E317" s="24"/>
      <c r="F317" s="7" t="s">
        <v>1101</v>
      </c>
      <c r="G317" s="65"/>
      <c r="H317" s="67" t="s">
        <v>1175</v>
      </c>
      <c r="I317" s="65"/>
    </row>
    <row r="318" spans="1:9" ht="17" x14ac:dyDescent="0.3">
      <c r="A318" s="3" t="s">
        <v>423</v>
      </c>
      <c r="B318" s="2" t="s">
        <v>408</v>
      </c>
      <c r="C318" s="2" t="s">
        <v>741</v>
      </c>
      <c r="D318" s="24">
        <f>SUMIFS(出入庫!F:F,出入庫!E:E,"入庫",出入庫!B:B,表格2[[#This Row],[料號]])-SUMIFS(出入庫!F:F,出入庫!E:E,"出庫",出入庫!B:B,表格2[[#This Row],[料號]])</f>
        <v>0</v>
      </c>
      <c r="E318" s="24"/>
      <c r="F318" s="7" t="s">
        <v>1101</v>
      </c>
      <c r="G318" s="65"/>
      <c r="H318" s="67" t="s">
        <v>1175</v>
      </c>
      <c r="I318" s="65"/>
    </row>
    <row r="319" spans="1:9" ht="17" x14ac:dyDescent="0.3">
      <c r="A319" s="3" t="s">
        <v>424</v>
      </c>
      <c r="B319" s="2" t="s">
        <v>408</v>
      </c>
      <c r="C319" s="2" t="s">
        <v>742</v>
      </c>
      <c r="D319" s="24">
        <f>SUMIFS(出入庫!F:F,出入庫!E:E,"入庫",出入庫!B:B,表格2[[#This Row],[料號]])-SUMIFS(出入庫!F:F,出入庫!E:E,"出庫",出入庫!B:B,表格2[[#This Row],[料號]])</f>
        <v>0</v>
      </c>
      <c r="E319" s="24"/>
      <c r="F319" s="7" t="s">
        <v>1101</v>
      </c>
      <c r="G319" s="65"/>
      <c r="H319" s="67" t="s">
        <v>1175</v>
      </c>
      <c r="I319" s="65"/>
    </row>
    <row r="320" spans="1:9" ht="17" x14ac:dyDescent="0.3">
      <c r="A320" s="3" t="s">
        <v>425</v>
      </c>
      <c r="B320" s="2" t="s">
        <v>408</v>
      </c>
      <c r="C320" s="2" t="s">
        <v>743</v>
      </c>
      <c r="D320" s="24">
        <f>SUMIFS(出入庫!F:F,出入庫!E:E,"入庫",出入庫!B:B,表格2[[#This Row],[料號]])-SUMIFS(出入庫!F:F,出入庫!E:E,"出庫",出入庫!B:B,表格2[[#This Row],[料號]])</f>
        <v>0</v>
      </c>
      <c r="E320" s="24"/>
      <c r="F320" s="7" t="s">
        <v>1101</v>
      </c>
      <c r="G320" s="65"/>
      <c r="H320" s="67" t="s">
        <v>1175</v>
      </c>
      <c r="I320" s="65"/>
    </row>
    <row r="321" spans="1:9" ht="17" x14ac:dyDescent="0.3">
      <c r="A321" s="3" t="s">
        <v>426</v>
      </c>
      <c r="B321" s="2" t="s">
        <v>408</v>
      </c>
      <c r="C321" s="2" t="s">
        <v>744</v>
      </c>
      <c r="D321" s="24">
        <f>SUMIFS(出入庫!F:F,出入庫!E:E,"入庫",出入庫!B:B,表格2[[#This Row],[料號]])-SUMIFS(出入庫!F:F,出入庫!E:E,"出庫",出入庫!B:B,表格2[[#This Row],[料號]])</f>
        <v>0</v>
      </c>
      <c r="E321" s="24"/>
      <c r="F321" s="7" t="s">
        <v>1101</v>
      </c>
      <c r="G321" s="65"/>
      <c r="H321" s="67" t="s">
        <v>1175</v>
      </c>
      <c r="I321" s="65"/>
    </row>
    <row r="322" spans="1:9" ht="17" x14ac:dyDescent="0.3">
      <c r="A322" s="3" t="s">
        <v>427</v>
      </c>
      <c r="B322" s="2" t="s">
        <v>408</v>
      </c>
      <c r="C322" s="2" t="s">
        <v>745</v>
      </c>
      <c r="D322" s="24">
        <f>SUMIFS(出入庫!F:F,出入庫!E:E,"入庫",出入庫!B:B,表格2[[#This Row],[料號]])-SUMIFS(出入庫!F:F,出入庫!E:E,"出庫",出入庫!B:B,表格2[[#This Row],[料號]])</f>
        <v>0</v>
      </c>
      <c r="E322" s="24"/>
      <c r="F322" s="7" t="s">
        <v>1101</v>
      </c>
      <c r="G322" s="65"/>
      <c r="H322" s="67" t="s">
        <v>1175</v>
      </c>
      <c r="I322" s="65"/>
    </row>
    <row r="323" spans="1:9" ht="17" x14ac:dyDescent="0.3">
      <c r="A323" s="3" t="s">
        <v>428</v>
      </c>
      <c r="B323" s="2" t="s">
        <v>408</v>
      </c>
      <c r="C323" s="2" t="s">
        <v>746</v>
      </c>
      <c r="D323" s="24">
        <f>SUMIFS(出入庫!F:F,出入庫!E:E,"入庫",出入庫!B:B,表格2[[#This Row],[料號]])-SUMIFS(出入庫!F:F,出入庫!E:E,"出庫",出入庫!B:B,表格2[[#This Row],[料號]])</f>
        <v>999</v>
      </c>
      <c r="E323" s="24"/>
      <c r="F323" s="7" t="s">
        <v>1101</v>
      </c>
      <c r="G323" s="65"/>
      <c r="H323" s="67" t="s">
        <v>1175</v>
      </c>
      <c r="I323" s="65"/>
    </row>
    <row r="324" spans="1:9" ht="17" x14ac:dyDescent="0.3">
      <c r="A324" s="3" t="s">
        <v>429</v>
      </c>
      <c r="B324" s="2" t="s">
        <v>408</v>
      </c>
      <c r="C324" s="2" t="s">
        <v>747</v>
      </c>
      <c r="D324" s="24">
        <f>SUMIFS(出入庫!F:F,出入庫!E:E,"入庫",出入庫!B:B,表格2[[#This Row],[料號]])-SUMIFS(出入庫!F:F,出入庫!E:E,"出庫",出入庫!B:B,表格2[[#This Row],[料號]])</f>
        <v>1000</v>
      </c>
      <c r="E324" s="24"/>
      <c r="F324" s="7" t="s">
        <v>1101</v>
      </c>
      <c r="G324" s="65"/>
      <c r="H324" s="67" t="s">
        <v>1175</v>
      </c>
      <c r="I324" s="65"/>
    </row>
    <row r="325" spans="1:9" ht="17" x14ac:dyDescent="0.3">
      <c r="A325" s="3" t="s">
        <v>430</v>
      </c>
      <c r="B325" s="2" t="s">
        <v>408</v>
      </c>
      <c r="C325" s="2" t="s">
        <v>748</v>
      </c>
      <c r="D325" s="24">
        <f>SUMIFS(出入庫!F:F,出入庫!E:E,"入庫",出入庫!B:B,表格2[[#This Row],[料號]])-SUMIFS(出入庫!F:F,出入庫!E:E,"出庫",出入庫!B:B,表格2[[#This Row],[料號]])</f>
        <v>500</v>
      </c>
      <c r="E325" s="24"/>
      <c r="F325" s="7" t="s">
        <v>1101</v>
      </c>
      <c r="G325" s="65"/>
      <c r="H325" s="67" t="s">
        <v>1175</v>
      </c>
      <c r="I325" s="65"/>
    </row>
    <row r="326" spans="1:9" ht="17" x14ac:dyDescent="0.3">
      <c r="A326" s="3" t="s">
        <v>431</v>
      </c>
      <c r="B326" s="2" t="s">
        <v>408</v>
      </c>
      <c r="C326" s="2" t="s">
        <v>749</v>
      </c>
      <c r="D326" s="24">
        <f>SUMIFS(出入庫!F:F,出入庫!E:E,"入庫",出入庫!B:B,表格2[[#This Row],[料號]])-SUMIFS(出入庫!F:F,出入庫!E:E,"出庫",出入庫!B:B,表格2[[#This Row],[料號]])</f>
        <v>1000</v>
      </c>
      <c r="E326" s="24"/>
      <c r="F326" s="7" t="s">
        <v>1101</v>
      </c>
      <c r="G326" s="65"/>
      <c r="H326" s="67" t="s">
        <v>1175</v>
      </c>
      <c r="I326" s="65"/>
    </row>
    <row r="327" spans="1:9" ht="17" x14ac:dyDescent="0.3">
      <c r="A327" s="3" t="s">
        <v>432</v>
      </c>
      <c r="B327" s="2" t="s">
        <v>408</v>
      </c>
      <c r="C327" s="2" t="s">
        <v>750</v>
      </c>
      <c r="D327" s="24">
        <f>SUMIFS(出入庫!F:F,出入庫!E:E,"入庫",出入庫!B:B,表格2[[#This Row],[料號]])-SUMIFS(出入庫!F:F,出入庫!E:E,"出庫",出入庫!B:B,表格2[[#This Row],[料號]])</f>
        <v>1000</v>
      </c>
      <c r="E327" s="24"/>
      <c r="F327" s="7" t="s">
        <v>1101</v>
      </c>
      <c r="G327" s="65"/>
      <c r="H327" s="67" t="s">
        <v>1175</v>
      </c>
      <c r="I327" s="65"/>
    </row>
    <row r="328" spans="1:9" ht="17" x14ac:dyDescent="0.3">
      <c r="A328" s="3" t="s">
        <v>433</v>
      </c>
      <c r="B328" s="2" t="s">
        <v>408</v>
      </c>
      <c r="C328" s="2" t="s">
        <v>751</v>
      </c>
      <c r="D328" s="24">
        <f>SUMIFS(出入庫!F:F,出入庫!E:E,"入庫",出入庫!B:B,表格2[[#This Row],[料號]])-SUMIFS(出入庫!F:F,出入庫!E:E,"出庫",出入庫!B:B,表格2[[#This Row],[料號]])</f>
        <v>900</v>
      </c>
      <c r="E328" s="24"/>
      <c r="F328" s="7" t="s">
        <v>1101</v>
      </c>
      <c r="G328" s="65"/>
      <c r="H328" s="67" t="s">
        <v>1175</v>
      </c>
      <c r="I328" s="65"/>
    </row>
    <row r="329" spans="1:9" ht="17" x14ac:dyDescent="0.3">
      <c r="A329" s="3" t="s">
        <v>434</v>
      </c>
      <c r="B329" s="2" t="s">
        <v>408</v>
      </c>
      <c r="C329" s="2" t="s">
        <v>752</v>
      </c>
      <c r="D329" s="24">
        <f>SUMIFS(出入庫!F:F,出入庫!E:E,"入庫",出入庫!B:B,表格2[[#This Row],[料號]])-SUMIFS(出入庫!F:F,出入庫!E:E,"出庫",出入庫!B:B,表格2[[#This Row],[料號]])</f>
        <v>997</v>
      </c>
      <c r="E329" s="24"/>
      <c r="F329" s="7" t="s">
        <v>1101</v>
      </c>
      <c r="G329" s="65"/>
      <c r="H329" s="67" t="s">
        <v>1175</v>
      </c>
      <c r="I329" s="65"/>
    </row>
    <row r="330" spans="1:9" ht="17" x14ac:dyDescent="0.3">
      <c r="A330" s="3" t="s">
        <v>1057</v>
      </c>
      <c r="B330" s="2" t="s">
        <v>408</v>
      </c>
      <c r="C330" s="2" t="s">
        <v>753</v>
      </c>
      <c r="D330" s="24">
        <f>SUMIFS(出入庫!F:F,出入庫!E:E,"入庫",出入庫!B:B,表格2[[#This Row],[料號]])-SUMIFS(出入庫!F:F,出入庫!E:E,"出庫",出入庫!B:B,表格2[[#This Row],[料號]])</f>
        <v>2000</v>
      </c>
      <c r="E330" s="24"/>
      <c r="F330" s="7" t="s">
        <v>1101</v>
      </c>
      <c r="G330" s="65"/>
      <c r="H330" s="67" t="s">
        <v>1175</v>
      </c>
      <c r="I330" s="65"/>
    </row>
    <row r="331" spans="1:9" ht="17" x14ac:dyDescent="0.3">
      <c r="A331" s="3" t="s">
        <v>1059</v>
      </c>
      <c r="B331" s="2" t="s">
        <v>408</v>
      </c>
      <c r="C331" s="2" t="s">
        <v>754</v>
      </c>
      <c r="D331" s="24">
        <f>SUMIFS(出入庫!F:F,出入庫!E:E,"入庫",出入庫!B:B,表格2[[#This Row],[料號]])-SUMIFS(出入庫!F:F,出入庫!E:E,"出庫",出入庫!B:B,表格2[[#This Row],[料號]])</f>
        <v>1000</v>
      </c>
      <c r="E331" s="24"/>
      <c r="F331" s="7" t="s">
        <v>1101</v>
      </c>
      <c r="G331" s="65"/>
      <c r="H331" s="67" t="s">
        <v>1175</v>
      </c>
      <c r="I331" s="65"/>
    </row>
    <row r="332" spans="1:9" ht="17" x14ac:dyDescent="0.3">
      <c r="A332" s="3" t="s">
        <v>437</v>
      </c>
      <c r="B332" s="2" t="s">
        <v>408</v>
      </c>
      <c r="C332" s="2" t="s">
        <v>755</v>
      </c>
      <c r="D332" s="24">
        <f>SUMIFS(出入庫!F:F,出入庫!E:E,"入庫",出入庫!B:B,表格2[[#This Row],[料號]])-SUMIFS(出入庫!F:F,出入庫!E:E,"出庫",出入庫!B:B,表格2[[#This Row],[料號]])</f>
        <v>0</v>
      </c>
      <c r="E332" s="24"/>
      <c r="F332" s="7" t="s">
        <v>1101</v>
      </c>
      <c r="G332" s="65"/>
      <c r="H332" s="67" t="s">
        <v>1175</v>
      </c>
      <c r="I332" s="65"/>
    </row>
    <row r="333" spans="1:9" ht="17" x14ac:dyDescent="0.3">
      <c r="A333" s="3" t="s">
        <v>438</v>
      </c>
      <c r="B333" s="2" t="s">
        <v>408</v>
      </c>
      <c r="C333" s="2" t="s">
        <v>756</v>
      </c>
      <c r="D333" s="24">
        <f>SUMIFS(出入庫!F:F,出入庫!E:E,"入庫",出入庫!B:B,表格2[[#This Row],[料號]])-SUMIFS(出入庫!F:F,出入庫!E:E,"出庫",出入庫!B:B,表格2[[#This Row],[料號]])</f>
        <v>0</v>
      </c>
      <c r="E333" s="24"/>
      <c r="F333" s="7" t="s">
        <v>1101</v>
      </c>
      <c r="G333" s="65"/>
      <c r="H333" s="67" t="s">
        <v>1175</v>
      </c>
      <c r="I333" s="65"/>
    </row>
    <row r="334" spans="1:9" ht="17" x14ac:dyDescent="0.3">
      <c r="A334" s="3" t="s">
        <v>439</v>
      </c>
      <c r="B334" s="2" t="s">
        <v>408</v>
      </c>
      <c r="C334" s="2" t="s">
        <v>757</v>
      </c>
      <c r="D334" s="24">
        <f>SUMIFS(出入庫!F:F,出入庫!E:E,"入庫",出入庫!B:B,表格2[[#This Row],[料號]])-SUMIFS(出入庫!F:F,出入庫!E:E,"出庫",出入庫!B:B,表格2[[#This Row],[料號]])</f>
        <v>0</v>
      </c>
      <c r="E334" s="24"/>
      <c r="F334" s="7" t="s">
        <v>1101</v>
      </c>
      <c r="G334" s="65"/>
      <c r="H334" s="67" t="s">
        <v>1175</v>
      </c>
      <c r="I334" s="65"/>
    </row>
    <row r="335" spans="1:9" ht="17" x14ac:dyDescent="0.3">
      <c r="A335" s="3" t="s">
        <v>440</v>
      </c>
      <c r="B335" s="2" t="s">
        <v>408</v>
      </c>
      <c r="C335" s="2" t="s">
        <v>758</v>
      </c>
      <c r="D335" s="24">
        <f>SUMIFS(出入庫!F:F,出入庫!E:E,"入庫",出入庫!B:B,表格2[[#This Row],[料號]])-SUMIFS(出入庫!F:F,出入庫!E:E,"出庫",出入庫!B:B,表格2[[#This Row],[料號]])</f>
        <v>0</v>
      </c>
      <c r="E335" s="24"/>
      <c r="F335" s="7" t="s">
        <v>1101</v>
      </c>
      <c r="G335" s="65"/>
      <c r="H335" s="67" t="s">
        <v>1175</v>
      </c>
      <c r="I335" s="65"/>
    </row>
    <row r="336" spans="1:9" ht="17" x14ac:dyDescent="0.3">
      <c r="A336" s="3" t="s">
        <v>441</v>
      </c>
      <c r="B336" s="2" t="s">
        <v>408</v>
      </c>
      <c r="C336" s="2" t="s">
        <v>759</v>
      </c>
      <c r="D336" s="24">
        <f>SUMIFS(出入庫!F:F,出入庫!E:E,"入庫",出入庫!B:B,表格2[[#This Row],[料號]])-SUMIFS(出入庫!F:F,出入庫!E:E,"出庫",出入庫!B:B,表格2[[#This Row],[料號]])</f>
        <v>0</v>
      </c>
      <c r="E336" s="24"/>
      <c r="F336" s="7" t="s">
        <v>1101</v>
      </c>
      <c r="G336" s="65"/>
      <c r="H336" s="67" t="s">
        <v>1175</v>
      </c>
      <c r="I336" s="65"/>
    </row>
    <row r="337" spans="1:9" ht="17" x14ac:dyDescent="0.3">
      <c r="A337" s="3" t="s">
        <v>442</v>
      </c>
      <c r="B337" s="2" t="s">
        <v>408</v>
      </c>
      <c r="C337" s="2" t="s">
        <v>760</v>
      </c>
      <c r="D337" s="24">
        <f>SUMIFS(出入庫!F:F,出入庫!E:E,"入庫",出入庫!B:B,表格2[[#This Row],[料號]])-SUMIFS(出入庫!F:F,出入庫!E:E,"出庫",出入庫!B:B,表格2[[#This Row],[料號]])</f>
        <v>0</v>
      </c>
      <c r="E337" s="24"/>
      <c r="F337" s="7" t="s">
        <v>1101</v>
      </c>
      <c r="G337" s="65"/>
      <c r="H337" s="67" t="s">
        <v>1175</v>
      </c>
      <c r="I337" s="65"/>
    </row>
    <row r="338" spans="1:9" ht="17" x14ac:dyDescent="0.3">
      <c r="A338" s="3" t="s">
        <v>443</v>
      </c>
      <c r="B338" s="2" t="s">
        <v>408</v>
      </c>
      <c r="C338" s="2" t="s">
        <v>761</v>
      </c>
      <c r="D338" s="24">
        <f>SUMIFS(出入庫!F:F,出入庫!E:E,"入庫",出入庫!B:B,表格2[[#This Row],[料號]])-SUMIFS(出入庫!F:F,出入庫!E:E,"出庫",出入庫!B:B,表格2[[#This Row],[料號]])</f>
        <v>0</v>
      </c>
      <c r="E338" s="24"/>
      <c r="F338" s="7" t="s">
        <v>1101</v>
      </c>
      <c r="G338" s="65"/>
      <c r="H338" s="67" t="s">
        <v>1175</v>
      </c>
      <c r="I338" s="65"/>
    </row>
    <row r="339" spans="1:9" ht="17" x14ac:dyDescent="0.3">
      <c r="A339" s="3" t="s">
        <v>444</v>
      </c>
      <c r="B339" s="2" t="s">
        <v>408</v>
      </c>
      <c r="C339" s="2" t="s">
        <v>762</v>
      </c>
      <c r="D339" s="24">
        <f>SUMIFS(出入庫!F:F,出入庫!E:E,"入庫",出入庫!B:B,表格2[[#This Row],[料號]])-SUMIFS(出入庫!F:F,出入庫!E:E,"出庫",出入庫!B:B,表格2[[#This Row],[料號]])</f>
        <v>0</v>
      </c>
      <c r="E339" s="24"/>
      <c r="F339" s="7" t="s">
        <v>1101</v>
      </c>
      <c r="G339" s="65"/>
      <c r="H339" s="67" t="s">
        <v>1175</v>
      </c>
      <c r="I339" s="65"/>
    </row>
    <row r="340" spans="1:9" ht="17" x14ac:dyDescent="0.3">
      <c r="A340" s="3" t="s">
        <v>445</v>
      </c>
      <c r="B340" s="2" t="s">
        <v>408</v>
      </c>
      <c r="C340" s="2" t="s">
        <v>763</v>
      </c>
      <c r="D340" s="24">
        <f>SUMIFS(出入庫!F:F,出入庫!E:E,"入庫",出入庫!B:B,表格2[[#This Row],[料號]])-SUMIFS(出入庫!F:F,出入庫!E:E,"出庫",出入庫!B:B,表格2[[#This Row],[料號]])</f>
        <v>0</v>
      </c>
      <c r="E340" s="24"/>
      <c r="F340" s="7" t="s">
        <v>1101</v>
      </c>
      <c r="G340" s="65"/>
      <c r="H340" s="67" t="s">
        <v>1175</v>
      </c>
      <c r="I340" s="65"/>
    </row>
    <row r="341" spans="1:9" ht="17" x14ac:dyDescent="0.3">
      <c r="A341" s="3" t="s">
        <v>446</v>
      </c>
      <c r="B341" s="2" t="s">
        <v>408</v>
      </c>
      <c r="C341" s="2" t="s">
        <v>764</v>
      </c>
      <c r="D341" s="24">
        <f>SUMIFS(出入庫!F:F,出入庫!E:E,"入庫",出入庫!B:B,表格2[[#This Row],[料號]])-SUMIFS(出入庫!F:F,出入庫!E:E,"出庫",出入庫!B:B,表格2[[#This Row],[料號]])</f>
        <v>0</v>
      </c>
      <c r="E341" s="24"/>
      <c r="F341" s="7" t="s">
        <v>1101</v>
      </c>
      <c r="G341" s="65"/>
      <c r="H341" s="67" t="s">
        <v>1175</v>
      </c>
      <c r="I341" s="65"/>
    </row>
    <row r="342" spans="1:9" ht="17" x14ac:dyDescent="0.3">
      <c r="A342" s="3" t="s">
        <v>447</v>
      </c>
      <c r="B342" s="2" t="s">
        <v>408</v>
      </c>
      <c r="C342" s="2" t="s">
        <v>765</v>
      </c>
      <c r="D342" s="24">
        <f>SUMIFS(出入庫!F:F,出入庫!E:E,"入庫",出入庫!B:B,表格2[[#This Row],[料號]])-SUMIFS(出入庫!F:F,出入庫!E:E,"出庫",出入庫!B:B,表格2[[#This Row],[料號]])</f>
        <v>0</v>
      </c>
      <c r="E342" s="24"/>
      <c r="F342" s="7" t="s">
        <v>1101</v>
      </c>
      <c r="G342" s="65"/>
      <c r="H342" s="67" t="s">
        <v>1175</v>
      </c>
      <c r="I342" s="65"/>
    </row>
    <row r="343" spans="1:9" ht="17" x14ac:dyDescent="0.3">
      <c r="A343" s="3" t="s">
        <v>448</v>
      </c>
      <c r="B343" s="2" t="s">
        <v>408</v>
      </c>
      <c r="C343" s="2" t="s">
        <v>766</v>
      </c>
      <c r="D343" s="24">
        <f>SUMIFS(出入庫!F:F,出入庫!E:E,"入庫",出入庫!B:B,表格2[[#This Row],[料號]])-SUMIFS(出入庫!F:F,出入庫!E:E,"出庫",出入庫!B:B,表格2[[#This Row],[料號]])</f>
        <v>0</v>
      </c>
      <c r="E343" s="24"/>
      <c r="F343" s="7" t="s">
        <v>1101</v>
      </c>
      <c r="G343" s="65"/>
      <c r="H343" s="67" t="s">
        <v>1175</v>
      </c>
      <c r="I343" s="65"/>
    </row>
    <row r="344" spans="1:9" ht="17" x14ac:dyDescent="0.3">
      <c r="A344" s="3" t="s">
        <v>449</v>
      </c>
      <c r="B344" s="2" t="s">
        <v>408</v>
      </c>
      <c r="C344" s="2" t="s">
        <v>767</v>
      </c>
      <c r="D344" s="24">
        <f>SUMIFS(出入庫!F:F,出入庫!E:E,"入庫",出入庫!B:B,表格2[[#This Row],[料號]])-SUMIFS(出入庫!F:F,出入庫!E:E,"出庫",出入庫!B:B,表格2[[#This Row],[料號]])</f>
        <v>0</v>
      </c>
      <c r="E344" s="24"/>
      <c r="F344" s="7" t="s">
        <v>1101</v>
      </c>
      <c r="G344" s="65"/>
      <c r="H344" s="67" t="s">
        <v>1175</v>
      </c>
      <c r="I344" s="65"/>
    </row>
    <row r="345" spans="1:9" ht="17" x14ac:dyDescent="0.3">
      <c r="A345" s="3" t="s">
        <v>450</v>
      </c>
      <c r="B345" s="2" t="s">
        <v>451</v>
      </c>
      <c r="C345" s="2" t="s">
        <v>768</v>
      </c>
      <c r="D345" s="24">
        <f>SUMIFS(出入庫!F:F,出入庫!E:E,"入庫",出入庫!B:B,表格2[[#This Row],[料號]])-SUMIFS(出入庫!F:F,出入庫!E:E,"出庫",出入庫!B:B,表格2[[#This Row],[料號]])</f>
        <v>918</v>
      </c>
      <c r="E345" s="24"/>
      <c r="F345" s="65"/>
      <c r="G345" s="65"/>
      <c r="H345" s="65"/>
      <c r="I345" s="65"/>
    </row>
    <row r="346" spans="1:9" ht="17" x14ac:dyDescent="0.3">
      <c r="A346" s="3" t="s">
        <v>452</v>
      </c>
      <c r="B346" s="2" t="s">
        <v>451</v>
      </c>
      <c r="C346" s="2" t="s">
        <v>769</v>
      </c>
      <c r="D346" s="24">
        <f>SUMIFS(出入庫!F:F,出入庫!E:E,"入庫",出入庫!B:B,表格2[[#This Row],[料號]])-SUMIFS(出入庫!F:F,出入庫!E:E,"出庫",出入庫!B:B,表格2[[#This Row],[料號]])</f>
        <v>712</v>
      </c>
      <c r="E346" s="24"/>
      <c r="F346" s="65"/>
      <c r="G346" s="65"/>
      <c r="H346" s="65"/>
      <c r="I346" s="65"/>
    </row>
    <row r="347" spans="1:9" ht="15.5" x14ac:dyDescent="0.3">
      <c r="A347" s="3" t="s">
        <v>453</v>
      </c>
      <c r="B347" s="2" t="s">
        <v>451</v>
      </c>
      <c r="C347" s="2" t="s">
        <v>454</v>
      </c>
      <c r="D347" s="24">
        <f>SUMIFS(出入庫!F:F,出入庫!E:E,"入庫",出入庫!B:B,表格2[[#This Row],[料號]])-SUMIFS(出入庫!F:F,出入庫!E:E,"出庫",出入庫!B:B,表格2[[#This Row],[料號]])</f>
        <v>900</v>
      </c>
      <c r="E347" s="24"/>
      <c r="F347" s="65"/>
      <c r="G347" s="65"/>
      <c r="H347" s="65"/>
      <c r="I347" s="65"/>
    </row>
    <row r="348" spans="1:9" ht="17" x14ac:dyDescent="0.3">
      <c r="A348" s="3" t="s">
        <v>455</v>
      </c>
      <c r="B348" s="2" t="s">
        <v>456</v>
      </c>
      <c r="C348" s="2" t="s">
        <v>1174</v>
      </c>
      <c r="D348" s="24">
        <f>SUMIFS(出入庫!F:F,出入庫!E:E,"入庫",出入庫!B:B,表格2[[#This Row],[料號]])-SUMIFS(出入庫!F:F,出入庫!E:E,"出庫",出入庫!B:B,表格2[[#This Row],[料號]])</f>
        <v>0</v>
      </c>
      <c r="E348" s="24"/>
      <c r="F348" s="65"/>
      <c r="G348" s="65"/>
      <c r="H348" s="51" t="s">
        <v>1176</v>
      </c>
      <c r="I348" s="65"/>
    </row>
    <row r="349" spans="1:9" ht="17" x14ac:dyDescent="0.3">
      <c r="A349" s="3" t="s">
        <v>457</v>
      </c>
      <c r="B349" s="2" t="s">
        <v>456</v>
      </c>
      <c r="C349" s="2" t="s">
        <v>770</v>
      </c>
      <c r="D349" s="24">
        <f>SUMIFS(出入庫!F:F,出入庫!E:E,"入庫",出入庫!B:B,表格2[[#This Row],[料號]])-SUMIFS(出入庫!F:F,出入庫!E:E,"出庫",出入庫!B:B,表格2[[#This Row],[料號]])</f>
        <v>0</v>
      </c>
      <c r="E349" s="24"/>
      <c r="F349" s="65"/>
      <c r="G349" s="65"/>
      <c r="H349" s="51" t="s">
        <v>1176</v>
      </c>
      <c r="I349" s="65"/>
    </row>
    <row r="350" spans="1:9" ht="15.5" x14ac:dyDescent="0.3">
      <c r="A350" s="3" t="s">
        <v>985</v>
      </c>
      <c r="B350" s="2" t="s">
        <v>459</v>
      </c>
      <c r="C350" s="2" t="s">
        <v>460</v>
      </c>
      <c r="D350" s="24">
        <f>SUMIFS(出入庫!F:F,出入庫!E:E,"入庫",出入庫!B:B,表格2[[#This Row],[料號]])-SUMIFS(出入庫!F:F,出入庫!E:E,"出庫",出入庫!B:B,表格2[[#This Row],[料號]])</f>
        <v>800</v>
      </c>
      <c r="E350" s="24"/>
      <c r="F350" s="65" t="s">
        <v>1134</v>
      </c>
      <c r="G350" s="65"/>
      <c r="H350" s="65"/>
      <c r="I350" s="65"/>
    </row>
    <row r="351" spans="1:9" ht="17" x14ac:dyDescent="0.3">
      <c r="A351" s="3" t="s">
        <v>461</v>
      </c>
      <c r="B351" s="2" t="s">
        <v>771</v>
      </c>
      <c r="C351" s="2" t="s">
        <v>462</v>
      </c>
      <c r="D351" s="24">
        <f>SUMIFS(出入庫!F:F,出入庫!E:E,"入庫",出入庫!B:B,表格2[[#This Row],[料號]])-SUMIFS(出入庫!F:F,出入庫!E:E,"出庫",出入庫!B:B,表格2[[#This Row],[料號]])</f>
        <v>0</v>
      </c>
      <c r="E351" s="24"/>
      <c r="F351" s="65"/>
      <c r="G351" s="65"/>
      <c r="H351" s="65"/>
      <c r="I351" s="65"/>
    </row>
    <row r="352" spans="1:9" ht="17" x14ac:dyDescent="0.3">
      <c r="A352" s="3" t="s">
        <v>463</v>
      </c>
      <c r="B352" s="2" t="s">
        <v>772</v>
      </c>
      <c r="C352" s="2" t="s">
        <v>464</v>
      </c>
      <c r="D352" s="24">
        <f>SUMIFS(出入庫!F:F,出入庫!E:E,"入庫",出入庫!B:B,表格2[[#This Row],[料號]])-SUMIFS(出入庫!F:F,出入庫!E:E,"出庫",出入庫!B:B,表格2[[#This Row],[料號]])</f>
        <v>0</v>
      </c>
      <c r="E352" s="24"/>
      <c r="F352" s="65"/>
      <c r="G352" s="65"/>
      <c r="H352" s="65"/>
      <c r="I352" s="65"/>
    </row>
    <row r="353" spans="1:9" ht="17" x14ac:dyDescent="0.3">
      <c r="A353" s="3" t="s">
        <v>465</v>
      </c>
      <c r="B353" s="2" t="s">
        <v>773</v>
      </c>
      <c r="C353" s="2" t="s">
        <v>466</v>
      </c>
      <c r="D353" s="24">
        <f>SUMIFS(出入庫!F:F,出入庫!E:E,"入庫",出入庫!B:B,表格2[[#This Row],[料號]])-SUMIFS(出入庫!F:F,出入庫!E:E,"出庫",出入庫!B:B,表格2[[#This Row],[料號]])</f>
        <v>0</v>
      </c>
      <c r="E353" s="24"/>
      <c r="F353" s="65"/>
      <c r="G353" s="65"/>
      <c r="H353" s="65"/>
      <c r="I353" s="65"/>
    </row>
    <row r="354" spans="1:9" ht="17" x14ac:dyDescent="0.3">
      <c r="A354" s="3" t="s">
        <v>467</v>
      </c>
      <c r="B354" s="2" t="s">
        <v>774</v>
      </c>
      <c r="C354" s="2" t="s">
        <v>468</v>
      </c>
      <c r="D354" s="24">
        <f>SUMIFS(出入庫!F:F,出入庫!E:E,"入庫",出入庫!B:B,表格2[[#This Row],[料號]])-SUMIFS(出入庫!F:F,出入庫!E:E,"出庫",出入庫!B:B,表格2[[#This Row],[料號]])</f>
        <v>0</v>
      </c>
      <c r="E354" s="24"/>
      <c r="F354" s="65"/>
      <c r="G354" s="65"/>
      <c r="H354" s="65"/>
      <c r="I354" s="65"/>
    </row>
    <row r="355" spans="1:9" ht="17" x14ac:dyDescent="0.3">
      <c r="A355" s="3" t="s">
        <v>469</v>
      </c>
      <c r="B355" s="2" t="s">
        <v>775</v>
      </c>
      <c r="C355" s="2" t="s">
        <v>776</v>
      </c>
      <c r="D355" s="24">
        <f>SUMIFS(出入庫!F:F,出入庫!E:E,"入庫",出入庫!B:B,表格2[[#This Row],[料號]])-SUMIFS(出入庫!F:F,出入庫!E:E,"出庫",出入庫!B:B,表格2[[#This Row],[料號]])</f>
        <v>0</v>
      </c>
      <c r="E355" s="24"/>
      <c r="F355" s="65"/>
      <c r="G355" s="65"/>
      <c r="H355" s="65"/>
      <c r="I355" s="65"/>
    </row>
    <row r="356" spans="1:9" ht="17" x14ac:dyDescent="0.3">
      <c r="A356" s="3" t="s">
        <v>470</v>
      </c>
      <c r="B356" s="2" t="s">
        <v>772</v>
      </c>
      <c r="C356" s="2" t="s">
        <v>777</v>
      </c>
      <c r="D356" s="24">
        <f>SUMIFS(出入庫!F:F,出入庫!E:E,"入庫",出入庫!B:B,表格2[[#This Row],[料號]])-SUMIFS(出入庫!F:F,出入庫!E:E,"出庫",出入庫!B:B,表格2[[#This Row],[料號]])</f>
        <v>0</v>
      </c>
      <c r="E356" s="24"/>
      <c r="F356" s="65"/>
      <c r="G356" s="65"/>
      <c r="H356" s="65"/>
      <c r="I356" s="65"/>
    </row>
    <row r="357" spans="1:9" ht="17" x14ac:dyDescent="0.3">
      <c r="A357" s="3" t="s">
        <v>471</v>
      </c>
      <c r="B357" s="2" t="s">
        <v>773</v>
      </c>
      <c r="C357" s="2" t="s">
        <v>778</v>
      </c>
      <c r="D357" s="24">
        <f>SUMIFS(出入庫!F:F,出入庫!E:E,"入庫",出入庫!B:B,表格2[[#This Row],[料號]])-SUMIFS(出入庫!F:F,出入庫!E:E,"出庫",出入庫!B:B,表格2[[#This Row],[料號]])</f>
        <v>0</v>
      </c>
      <c r="E357" s="24"/>
      <c r="F357" s="65"/>
      <c r="G357" s="65"/>
      <c r="H357" s="65"/>
      <c r="I357" s="65"/>
    </row>
    <row r="358" spans="1:9" ht="17" x14ac:dyDescent="0.3">
      <c r="A358" s="3" t="s">
        <v>472</v>
      </c>
      <c r="B358" s="2" t="s">
        <v>774</v>
      </c>
      <c r="C358" s="2" t="s">
        <v>779</v>
      </c>
      <c r="D358" s="24">
        <f>SUMIFS(出入庫!F:F,出入庫!E:E,"入庫",出入庫!B:B,表格2[[#This Row],[料號]])-SUMIFS(出入庫!F:F,出入庫!E:E,"出庫",出入庫!B:B,表格2[[#This Row],[料號]])</f>
        <v>0</v>
      </c>
      <c r="E358" s="24"/>
      <c r="F358" s="65"/>
      <c r="G358" s="65"/>
      <c r="H358" s="65"/>
      <c r="I358" s="65"/>
    </row>
    <row r="359" spans="1:9" ht="17" x14ac:dyDescent="0.3">
      <c r="A359" s="3" t="s">
        <v>473</v>
      </c>
      <c r="B359" s="2" t="s">
        <v>780</v>
      </c>
      <c r="C359" s="2" t="s">
        <v>781</v>
      </c>
      <c r="D359" s="24">
        <f>SUMIFS(出入庫!F:F,出入庫!E:E,"入庫",出入庫!B:B,表格2[[#This Row],[料號]])-SUMIFS(出入庫!F:F,出入庫!E:E,"出庫",出入庫!B:B,表格2[[#This Row],[料號]])</f>
        <v>0</v>
      </c>
      <c r="E359" s="24"/>
      <c r="F359" s="65"/>
      <c r="G359" s="65"/>
      <c r="H359" s="65"/>
      <c r="I359" s="65"/>
    </row>
    <row r="360" spans="1:9" ht="17" x14ac:dyDescent="0.3">
      <c r="A360" s="3" t="s">
        <v>474</v>
      </c>
      <c r="B360" s="2" t="s">
        <v>782</v>
      </c>
      <c r="C360" s="2" t="s">
        <v>783</v>
      </c>
      <c r="D360" s="24">
        <f>SUMIFS(出入庫!F:F,出入庫!E:E,"入庫",出入庫!B:B,表格2[[#This Row],[料號]])-SUMIFS(出入庫!F:F,出入庫!E:E,"出庫",出入庫!B:B,表格2[[#This Row],[料號]])</f>
        <v>2630</v>
      </c>
      <c r="E360" s="24"/>
      <c r="F360" s="65" t="s">
        <v>1132</v>
      </c>
      <c r="G360" s="65"/>
      <c r="H360" s="65"/>
      <c r="I360" s="65"/>
    </row>
    <row r="361" spans="1:9" ht="17" x14ac:dyDescent="0.3">
      <c r="A361" s="3" t="s">
        <v>475</v>
      </c>
      <c r="B361" s="2" t="s">
        <v>782</v>
      </c>
      <c r="C361" s="2" t="s">
        <v>784</v>
      </c>
      <c r="D361" s="24">
        <f>SUMIFS(出入庫!F:F,出入庫!E:E,"入庫",出入庫!B:B,表格2[[#This Row],[料號]])-SUMIFS(出入庫!F:F,出入庫!E:E,"出庫",出入庫!B:B,表格2[[#This Row],[料號]])</f>
        <v>384</v>
      </c>
      <c r="E361" s="24"/>
      <c r="F361" s="65"/>
      <c r="G361" s="65"/>
      <c r="H361" s="65"/>
      <c r="I361" s="65"/>
    </row>
    <row r="362" spans="1:9" ht="17" x14ac:dyDescent="0.3">
      <c r="A362" s="3" t="s">
        <v>476</v>
      </c>
      <c r="B362" s="2" t="s">
        <v>782</v>
      </c>
      <c r="C362" s="2" t="s">
        <v>477</v>
      </c>
      <c r="D362" s="24">
        <f>SUMIFS(出入庫!F:F,出入庫!E:E,"入庫",出入庫!B:B,表格2[[#This Row],[料號]])-SUMIFS(出入庫!F:F,出入庫!E:E,"出庫",出入庫!B:B,表格2[[#This Row],[料號]])</f>
        <v>4650</v>
      </c>
      <c r="E362" s="24"/>
      <c r="F362" s="65"/>
      <c r="G362" s="65"/>
      <c r="H362" s="65"/>
      <c r="I362" s="65"/>
    </row>
    <row r="363" spans="1:9" ht="17" x14ac:dyDescent="0.3">
      <c r="A363" s="3" t="s">
        <v>478</v>
      </c>
      <c r="B363" s="2" t="s">
        <v>782</v>
      </c>
      <c r="C363" s="2" t="s">
        <v>479</v>
      </c>
      <c r="D363" s="24">
        <f>SUMIFS(出入庫!F:F,出入庫!E:E,"入庫",出入庫!B:B,表格2[[#This Row],[料號]])-SUMIFS(出入庫!F:F,出入庫!E:E,"出庫",出入庫!B:B,表格2[[#This Row],[料號]])</f>
        <v>25</v>
      </c>
      <c r="E363" s="24"/>
      <c r="F363" s="65"/>
      <c r="G363" s="65"/>
      <c r="H363" s="65"/>
      <c r="I363" s="65"/>
    </row>
    <row r="364" spans="1:9" ht="17" x14ac:dyDescent="0.3">
      <c r="A364" s="3" t="s">
        <v>480</v>
      </c>
      <c r="B364" s="2" t="s">
        <v>782</v>
      </c>
      <c r="C364" s="2" t="s">
        <v>481</v>
      </c>
      <c r="D364" s="24">
        <f>SUMIFS(出入庫!F:F,出入庫!E:E,"入庫",出入庫!B:B,表格2[[#This Row],[料號]])-SUMIFS(出入庫!F:F,出入庫!E:E,"出庫",出入庫!B:B,表格2[[#This Row],[料號]])</f>
        <v>4021</v>
      </c>
      <c r="E364" s="24"/>
      <c r="F364" s="65" t="s">
        <v>1132</v>
      </c>
      <c r="G364" s="65"/>
      <c r="H364" s="65"/>
      <c r="I364" s="65"/>
    </row>
    <row r="365" spans="1:9" ht="17" x14ac:dyDescent="0.3">
      <c r="A365" s="3" t="s">
        <v>482</v>
      </c>
      <c r="B365" s="2" t="s">
        <v>782</v>
      </c>
      <c r="C365" s="2" t="s">
        <v>483</v>
      </c>
      <c r="D365" s="24">
        <f>SUMIFS(出入庫!F:F,出入庫!E:E,"入庫",出入庫!B:B,表格2[[#This Row],[料號]])-SUMIFS(出入庫!F:F,出入庫!E:E,"出庫",出入庫!B:B,表格2[[#This Row],[料號]])</f>
        <v>0</v>
      </c>
      <c r="E365" s="24"/>
      <c r="F365" s="65"/>
      <c r="G365" s="65"/>
      <c r="H365" s="65"/>
      <c r="I365" s="65"/>
    </row>
    <row r="366" spans="1:9" ht="17" x14ac:dyDescent="0.3">
      <c r="A366" s="3" t="s">
        <v>484</v>
      </c>
      <c r="B366" s="2" t="s">
        <v>785</v>
      </c>
      <c r="C366" s="2" t="s">
        <v>786</v>
      </c>
      <c r="D366" s="24">
        <f>SUMIFS(出入庫!F:F,出入庫!E:E,"入庫",出入庫!B:B,表格2[[#This Row],[料號]])-SUMIFS(出入庫!F:F,出入庫!E:E,"出庫",出入庫!B:B,表格2[[#This Row],[料號]])</f>
        <v>0</v>
      </c>
      <c r="E366" s="24"/>
      <c r="F366" s="65"/>
      <c r="G366" s="65"/>
      <c r="H366" s="51" t="s">
        <v>1149</v>
      </c>
      <c r="I366" s="65"/>
    </row>
    <row r="367" spans="1:9" ht="17" x14ac:dyDescent="0.3">
      <c r="A367" s="3" t="s">
        <v>485</v>
      </c>
      <c r="B367" s="2" t="s">
        <v>785</v>
      </c>
      <c r="C367" s="2" t="s">
        <v>787</v>
      </c>
      <c r="D367" s="24">
        <f>SUMIFS(出入庫!F:F,出入庫!E:E,"入庫",出入庫!B:B,表格2[[#This Row],[料號]])-SUMIFS(出入庫!F:F,出入庫!E:E,"出庫",出入庫!B:B,表格2[[#This Row],[料號]])</f>
        <v>856</v>
      </c>
      <c r="E367" s="24"/>
      <c r="F367" s="65" t="s">
        <v>1132</v>
      </c>
      <c r="G367" s="65"/>
      <c r="H367" s="65"/>
      <c r="I367" s="65"/>
    </row>
    <row r="368" spans="1:9" ht="17" x14ac:dyDescent="0.3">
      <c r="A368" s="3" t="s">
        <v>486</v>
      </c>
      <c r="B368" s="2" t="s">
        <v>785</v>
      </c>
      <c r="C368" s="2" t="s">
        <v>788</v>
      </c>
      <c r="D368" s="24">
        <f>SUMIFS(出入庫!F:F,出入庫!E:E,"入庫",出入庫!B:B,表格2[[#This Row],[料號]])-SUMIFS(出入庫!F:F,出入庫!E:E,"出庫",出入庫!B:B,表格2[[#This Row],[料號]])</f>
        <v>1645</v>
      </c>
      <c r="E368" s="24"/>
      <c r="F368" s="65" t="s">
        <v>1132</v>
      </c>
      <c r="G368" s="65"/>
      <c r="H368" s="65"/>
      <c r="I368" s="65"/>
    </row>
    <row r="369" spans="1:9" ht="17" x14ac:dyDescent="0.3">
      <c r="A369" s="3" t="s">
        <v>487</v>
      </c>
      <c r="B369" s="2" t="s">
        <v>785</v>
      </c>
      <c r="C369" s="2" t="s">
        <v>488</v>
      </c>
      <c r="D369" s="24">
        <f>SUMIFS(出入庫!F:F,出入庫!E:E,"入庫",出入庫!B:B,表格2[[#This Row],[料號]])-SUMIFS(出入庫!F:F,出入庫!E:E,"出庫",出入庫!B:B,表格2[[#This Row],[料號]])</f>
        <v>1423</v>
      </c>
      <c r="E369" s="24"/>
      <c r="F369" s="65" t="s">
        <v>1132</v>
      </c>
      <c r="G369" s="65"/>
      <c r="H369" s="65"/>
      <c r="I369" s="65"/>
    </row>
    <row r="370" spans="1:9" ht="17" x14ac:dyDescent="0.3">
      <c r="A370" s="3" t="s">
        <v>489</v>
      </c>
      <c r="B370" s="2" t="s">
        <v>785</v>
      </c>
      <c r="C370" s="2" t="s">
        <v>490</v>
      </c>
      <c r="D370" s="24">
        <f>SUMIFS(出入庫!F:F,出入庫!E:E,"入庫",出入庫!B:B,表格2[[#This Row],[料號]])-SUMIFS(出入庫!F:F,出入庫!E:E,"出庫",出入庫!B:B,表格2[[#This Row],[料號]])</f>
        <v>2748</v>
      </c>
      <c r="E370" s="24"/>
      <c r="F370" s="65"/>
      <c r="G370" s="65"/>
      <c r="H370" s="65"/>
      <c r="I370" s="65"/>
    </row>
    <row r="371" spans="1:9" ht="17" x14ac:dyDescent="0.3">
      <c r="A371" s="3" t="s">
        <v>491</v>
      </c>
      <c r="B371" s="2" t="s">
        <v>785</v>
      </c>
      <c r="C371" s="2" t="s">
        <v>492</v>
      </c>
      <c r="D371" s="24">
        <f>SUMIFS(出入庫!F:F,出入庫!E:E,"入庫",出入庫!B:B,表格2[[#This Row],[料號]])-SUMIFS(出入庫!F:F,出入庫!E:E,"出庫",出入庫!B:B,表格2[[#This Row],[料號]])</f>
        <v>0</v>
      </c>
      <c r="E371" s="24"/>
      <c r="F371" s="65"/>
      <c r="G371" s="65"/>
      <c r="H371" s="65"/>
      <c r="I371" s="65"/>
    </row>
    <row r="372" spans="1:9" ht="17" x14ac:dyDescent="0.3">
      <c r="A372" s="3" t="s">
        <v>493</v>
      </c>
      <c r="B372" s="2" t="s">
        <v>785</v>
      </c>
      <c r="C372" s="2" t="s">
        <v>494</v>
      </c>
      <c r="D372" s="24">
        <f>SUMIFS(出入庫!F:F,出入庫!E:E,"入庫",出入庫!B:B,表格2[[#This Row],[料號]])-SUMIFS(出入庫!F:F,出入庫!E:E,"出庫",出入庫!B:B,表格2[[#This Row],[料號]])</f>
        <v>500</v>
      </c>
      <c r="E372" s="24"/>
      <c r="F372" s="65"/>
      <c r="G372" s="65"/>
      <c r="H372" s="65"/>
      <c r="I372" s="65"/>
    </row>
    <row r="373" spans="1:9" ht="17" x14ac:dyDescent="0.3">
      <c r="A373" s="3" t="s">
        <v>495</v>
      </c>
      <c r="B373" s="2" t="s">
        <v>785</v>
      </c>
      <c r="C373" s="2" t="s">
        <v>789</v>
      </c>
      <c r="D373" s="24">
        <f>SUMIFS(出入庫!F:F,出入庫!E:E,"入庫",出入庫!B:B,表格2[[#This Row],[料號]])-SUMIFS(出入庫!F:F,出入庫!E:E,"出庫",出入庫!B:B,表格2[[#This Row],[料號]])</f>
        <v>1067</v>
      </c>
      <c r="E373" s="24"/>
      <c r="F373" s="65"/>
      <c r="G373" s="65"/>
      <c r="H373" s="67"/>
      <c r="I373" s="65"/>
    </row>
    <row r="374" spans="1:9" ht="17" x14ac:dyDescent="0.3">
      <c r="A374" s="3" t="s">
        <v>496</v>
      </c>
      <c r="B374" s="2" t="s">
        <v>785</v>
      </c>
      <c r="C374" s="2" t="s">
        <v>1173</v>
      </c>
      <c r="D374" s="24">
        <f>SUMIFS(出入庫!F:F,出入庫!E:E,"入庫",出入庫!B:B,表格2[[#This Row],[料號]])-SUMIFS(出入庫!F:F,出入庫!E:E,"出庫",出入庫!B:B,表格2[[#This Row],[料號]])</f>
        <v>0</v>
      </c>
      <c r="E374" s="24"/>
      <c r="F374" s="65"/>
      <c r="G374" s="65"/>
      <c r="H374" s="67"/>
      <c r="I374" s="65"/>
    </row>
    <row r="375" spans="1:9" ht="17" x14ac:dyDescent="0.3">
      <c r="A375" s="3" t="s">
        <v>497</v>
      </c>
      <c r="B375" s="2" t="s">
        <v>785</v>
      </c>
      <c r="C375" s="2" t="s">
        <v>1172</v>
      </c>
      <c r="D375" s="24">
        <f>SUMIFS(出入庫!F:F,出入庫!E:E,"入庫",出入庫!B:B,表格2[[#This Row],[料號]])-SUMIFS(出入庫!F:F,出入庫!E:E,"出庫",出入庫!B:B,表格2[[#This Row],[料號]])</f>
        <v>0</v>
      </c>
      <c r="E375" s="24"/>
      <c r="F375" s="65"/>
      <c r="G375" s="65"/>
      <c r="H375" s="65"/>
      <c r="I375" s="65"/>
    </row>
    <row r="376" spans="1:9" ht="17" x14ac:dyDescent="0.3">
      <c r="A376" s="3" t="s">
        <v>498</v>
      </c>
      <c r="B376" s="2" t="s">
        <v>790</v>
      </c>
      <c r="C376" s="2" t="s">
        <v>791</v>
      </c>
      <c r="D376" s="24">
        <f>SUMIFS(出入庫!F:F,出入庫!E:E,"入庫",出入庫!B:B,表格2[[#This Row],[料號]])-SUMIFS(出入庫!F:F,出入庫!E:E,"出庫",出入庫!B:B,表格2[[#This Row],[料號]])</f>
        <v>3729</v>
      </c>
      <c r="E376" s="24"/>
      <c r="F376" s="65" t="s">
        <v>1133</v>
      </c>
      <c r="G376" s="65"/>
      <c r="H376" s="67" t="s">
        <v>1171</v>
      </c>
      <c r="I376" s="65"/>
    </row>
    <row r="377" spans="1:9" ht="17" x14ac:dyDescent="0.3">
      <c r="A377" s="3" t="s">
        <v>499</v>
      </c>
      <c r="B377" s="2" t="s">
        <v>790</v>
      </c>
      <c r="C377" s="2" t="s">
        <v>792</v>
      </c>
      <c r="D377" s="24">
        <f>SUMIFS(出入庫!F:F,出入庫!E:E,"入庫",出入庫!B:B,表格2[[#This Row],[料號]])-SUMIFS(出入庫!F:F,出入庫!E:E,"出庫",出入庫!B:B,表格2[[#This Row],[料號]])</f>
        <v>2952</v>
      </c>
      <c r="E377" s="24"/>
      <c r="F377" s="65"/>
      <c r="G377" s="65"/>
      <c r="H377" s="67" t="s">
        <v>1171</v>
      </c>
      <c r="I377" s="65"/>
    </row>
    <row r="378" spans="1:9" ht="17" x14ac:dyDescent="0.3">
      <c r="A378" s="3" t="s">
        <v>500</v>
      </c>
      <c r="B378" s="2" t="s">
        <v>790</v>
      </c>
      <c r="C378" s="2" t="s">
        <v>793</v>
      </c>
      <c r="D378" s="24">
        <f>SUMIFS(出入庫!F:F,出入庫!E:E,"入庫",出入庫!B:B,表格2[[#This Row],[料號]])-SUMIFS(出入庫!F:F,出入庫!E:E,"出庫",出入庫!B:B,表格2[[#This Row],[料號]])</f>
        <v>75</v>
      </c>
      <c r="E378" s="24"/>
      <c r="F378" s="65"/>
      <c r="G378" s="65"/>
      <c r="H378" s="67" t="s">
        <v>1171</v>
      </c>
      <c r="I378" s="65"/>
    </row>
    <row r="379" spans="1:9" ht="17" x14ac:dyDescent="0.3">
      <c r="A379" s="3" t="s">
        <v>501</v>
      </c>
      <c r="B379" s="2" t="s">
        <v>790</v>
      </c>
      <c r="C379" s="2" t="s">
        <v>1170</v>
      </c>
      <c r="D379" s="24">
        <f>SUMIFS(出入庫!F:F,出入庫!E:E,"入庫",出入庫!B:B,表格2[[#This Row],[料號]])-SUMIFS(出入庫!F:F,出入庫!E:E,"出庫",出入庫!B:B,表格2[[#This Row],[料號]])</f>
        <v>0</v>
      </c>
      <c r="E379" s="24"/>
      <c r="F379" s="65"/>
      <c r="G379" s="65"/>
      <c r="H379" s="65" t="s">
        <v>1181</v>
      </c>
      <c r="I379" s="65"/>
    </row>
    <row r="380" spans="1:9" ht="17" x14ac:dyDescent="0.3">
      <c r="A380" s="3" t="s">
        <v>502</v>
      </c>
      <c r="B380" s="2" t="s">
        <v>503</v>
      </c>
      <c r="C380" s="2" t="s">
        <v>794</v>
      </c>
      <c r="D380" s="24">
        <f>SUMIFS(出入庫!F:F,出入庫!E:E,"入庫",出入庫!B:B,表格2[[#This Row],[料號]])-SUMIFS(出入庫!F:F,出入庫!E:E,"出庫",出入庫!B:B,表格2[[#This Row],[料號]])</f>
        <v>847</v>
      </c>
      <c r="E380" s="24"/>
      <c r="F380" s="65"/>
      <c r="G380" s="65"/>
      <c r="H380" s="67" t="s">
        <v>1159</v>
      </c>
      <c r="I380" s="65"/>
    </row>
    <row r="381" spans="1:9" ht="17" x14ac:dyDescent="0.3">
      <c r="A381" s="3" t="s">
        <v>504</v>
      </c>
      <c r="B381" s="2" t="s">
        <v>505</v>
      </c>
      <c r="C381" s="2" t="s">
        <v>795</v>
      </c>
      <c r="D381" s="24">
        <f>SUMIFS(出入庫!F:F,出入庫!E:E,"入庫",出入庫!B:B,表格2[[#This Row],[料號]])-SUMIFS(出入庫!F:F,出入庫!E:E,"出庫",出入庫!B:B,表格2[[#This Row],[料號]])</f>
        <v>0</v>
      </c>
      <c r="E381" s="24"/>
      <c r="F381" s="65"/>
      <c r="G381" s="65"/>
      <c r="H381" s="67" t="s">
        <v>1159</v>
      </c>
      <c r="I381" s="65"/>
    </row>
    <row r="382" spans="1:9" ht="17" x14ac:dyDescent="0.3">
      <c r="A382" s="3" t="s">
        <v>506</v>
      </c>
      <c r="B382" s="2" t="s">
        <v>505</v>
      </c>
      <c r="C382" s="2" t="s">
        <v>796</v>
      </c>
      <c r="D382" s="24">
        <f>SUMIFS(出入庫!F:F,出入庫!E:E,"入庫",出入庫!B:B,表格2[[#This Row],[料號]])-SUMIFS(出入庫!F:F,出入庫!E:E,"出庫",出入庫!B:B,表格2[[#This Row],[料號]])</f>
        <v>435</v>
      </c>
      <c r="E382" s="24"/>
      <c r="F382" s="65"/>
      <c r="G382" s="65"/>
      <c r="H382" s="67" t="s">
        <v>1159</v>
      </c>
      <c r="I382" s="65"/>
    </row>
    <row r="383" spans="1:9" ht="17" x14ac:dyDescent="0.3">
      <c r="A383" s="3" t="s">
        <v>507</v>
      </c>
      <c r="B383" s="2" t="s">
        <v>505</v>
      </c>
      <c r="C383" s="2" t="s">
        <v>797</v>
      </c>
      <c r="D383" s="24">
        <f>SUMIFS(出入庫!F:F,出入庫!E:E,"入庫",出入庫!B:B,表格2[[#This Row],[料號]])-SUMIFS(出入庫!F:F,出入庫!E:E,"出庫",出入庫!B:B,表格2[[#This Row],[料號]])</f>
        <v>20</v>
      </c>
      <c r="E383" s="24"/>
      <c r="F383" s="65"/>
      <c r="G383" s="65"/>
      <c r="H383" s="67" t="s">
        <v>1159</v>
      </c>
      <c r="I383" s="65"/>
    </row>
    <row r="384" spans="1:9" ht="17" x14ac:dyDescent="0.3">
      <c r="A384" s="3" t="s">
        <v>508</v>
      </c>
      <c r="B384" s="2" t="s">
        <v>505</v>
      </c>
      <c r="C384" s="2" t="s">
        <v>798</v>
      </c>
      <c r="D384" s="24">
        <f>SUMIFS(出入庫!F:F,出入庫!E:E,"入庫",出入庫!B:B,表格2[[#This Row],[料號]])-SUMIFS(出入庫!F:F,出入庫!E:E,"出庫",出入庫!B:B,表格2[[#This Row],[料號]])</f>
        <v>99</v>
      </c>
      <c r="E384" s="24"/>
      <c r="F384" s="65"/>
      <c r="G384" s="65"/>
      <c r="H384" s="67" t="s">
        <v>1159</v>
      </c>
      <c r="I384" s="65"/>
    </row>
    <row r="385" spans="1:9" ht="17" x14ac:dyDescent="0.3">
      <c r="A385" s="3" t="s">
        <v>509</v>
      </c>
      <c r="B385" s="2" t="s">
        <v>505</v>
      </c>
      <c r="C385" s="2" t="s">
        <v>1158</v>
      </c>
      <c r="D385" s="24">
        <f>SUMIFS(出入庫!F:F,出入庫!E:E,"入庫",出入庫!B:B,表格2[[#This Row],[料號]])-SUMIFS(出入庫!F:F,出入庫!E:E,"出庫",出入庫!B:B,表格2[[#This Row],[料號]])</f>
        <v>774</v>
      </c>
      <c r="E385" s="24"/>
      <c r="F385" s="65"/>
      <c r="G385" s="65"/>
      <c r="H385" s="67" t="s">
        <v>1159</v>
      </c>
      <c r="I385" s="65"/>
    </row>
    <row r="386" spans="1:9" ht="17" x14ac:dyDescent="0.3">
      <c r="A386" s="3" t="s">
        <v>510</v>
      </c>
      <c r="B386" s="2" t="s">
        <v>511</v>
      </c>
      <c r="C386" s="2" t="s">
        <v>799</v>
      </c>
      <c r="D386" s="24">
        <f>SUMIFS(出入庫!F:F,出入庫!E:E,"入庫",出入庫!B:B,表格2[[#This Row],[料號]])-SUMIFS(出入庫!F:F,出入庫!E:E,"出庫",出入庫!B:B,表格2[[#This Row],[料號]])</f>
        <v>0</v>
      </c>
      <c r="E386" s="24"/>
      <c r="F386" s="65"/>
      <c r="G386" s="65"/>
      <c r="H386" s="67" t="s">
        <v>1157</v>
      </c>
      <c r="I386" s="65"/>
    </row>
    <row r="387" spans="1:9" ht="17" x14ac:dyDescent="0.3">
      <c r="A387" s="3" t="s">
        <v>512</v>
      </c>
      <c r="B387" s="2" t="s">
        <v>511</v>
      </c>
      <c r="C387" s="2" t="s">
        <v>1160</v>
      </c>
      <c r="D387" s="24">
        <f>SUMIFS(出入庫!F:F,出入庫!E:E,"入庫",出入庫!B:B,表格2[[#This Row],[料號]])-SUMIFS(出入庫!F:F,出入庫!E:E,"出庫",出入庫!B:B,表格2[[#This Row],[料號]])</f>
        <v>842</v>
      </c>
      <c r="E387" s="24"/>
      <c r="F387" s="65"/>
      <c r="G387" s="65"/>
      <c r="H387" s="67" t="s">
        <v>1161</v>
      </c>
      <c r="I387" s="65"/>
    </row>
    <row r="388" spans="1:9" ht="17" x14ac:dyDescent="0.3">
      <c r="A388" s="3" t="s">
        <v>513</v>
      </c>
      <c r="B388" s="2" t="s">
        <v>511</v>
      </c>
      <c r="C388" s="2" t="s">
        <v>800</v>
      </c>
      <c r="D388" s="24">
        <f>SUMIFS(出入庫!F:F,出入庫!E:E,"入庫",出入庫!B:B,表格2[[#This Row],[料號]])-SUMIFS(出入庫!F:F,出入庫!E:E,"出庫",出入庫!B:B,表格2[[#This Row],[料號]])</f>
        <v>0</v>
      </c>
      <c r="E388" s="24"/>
      <c r="F388" s="65"/>
      <c r="G388" s="65"/>
      <c r="H388" s="67" t="s">
        <v>1157</v>
      </c>
      <c r="I388" s="65"/>
    </row>
    <row r="389" spans="1:9" ht="15.5" x14ac:dyDescent="0.3">
      <c r="A389" s="3" t="s">
        <v>514</v>
      </c>
      <c r="B389" s="2" t="s">
        <v>511</v>
      </c>
      <c r="C389" s="2" t="s">
        <v>1162</v>
      </c>
      <c r="D389" s="24">
        <f>SUMIFS(出入庫!F:F,出入庫!E:E,"入庫",出入庫!B:B,表格2[[#This Row],[料號]])-SUMIFS(出入庫!F:F,出入庫!E:E,"出庫",出入庫!B:B,表格2[[#This Row],[料號]])</f>
        <v>0</v>
      </c>
      <c r="E389" s="24"/>
      <c r="F389" s="65"/>
      <c r="G389" s="65"/>
      <c r="H389" s="65" t="s">
        <v>1163</v>
      </c>
      <c r="I389" s="65"/>
    </row>
    <row r="390" spans="1:9" ht="17" x14ac:dyDescent="0.3">
      <c r="A390" s="3" t="s">
        <v>515</v>
      </c>
      <c r="B390" s="2" t="s">
        <v>801</v>
      </c>
      <c r="C390" s="2" t="s">
        <v>1168</v>
      </c>
      <c r="D390" s="24">
        <f>SUMIFS(出入庫!F:F,出入庫!E:E,"入庫",出入庫!B:B,表格2[[#This Row],[料號]])-SUMIFS(出入庫!F:F,出入庫!E:E,"出庫",出入庫!B:B,表格2[[#This Row],[料號]])</f>
        <v>3000</v>
      </c>
      <c r="E390" s="24"/>
      <c r="F390" s="65"/>
      <c r="G390" s="65"/>
      <c r="H390" s="65" t="s">
        <v>1169</v>
      </c>
      <c r="I390" s="65"/>
    </row>
    <row r="391" spans="1:9" ht="17" x14ac:dyDescent="0.3">
      <c r="A391" s="3" t="s">
        <v>517</v>
      </c>
      <c r="B391" s="2" t="s">
        <v>801</v>
      </c>
      <c r="C391" s="2" t="s">
        <v>1164</v>
      </c>
      <c r="D391" s="24">
        <f>SUMIFS(出入庫!F:F,出入庫!E:E,"入庫",出入庫!B:B,表格2[[#This Row],[料號]])-SUMIFS(出入庫!F:F,出入庫!E:E,"出庫",出入庫!B:B,表格2[[#This Row],[料號]])</f>
        <v>5795</v>
      </c>
      <c r="E391" s="24"/>
      <c r="F391" s="65"/>
      <c r="G391" s="65"/>
      <c r="H391" s="65" t="s">
        <v>1165</v>
      </c>
      <c r="I391" s="65"/>
    </row>
    <row r="392" spans="1:9" ht="17" x14ac:dyDescent="0.3">
      <c r="A392" s="3" t="s">
        <v>519</v>
      </c>
      <c r="B392" s="2" t="s">
        <v>801</v>
      </c>
      <c r="C392" s="2" t="s">
        <v>520</v>
      </c>
      <c r="D392" s="24">
        <f>SUMIFS(出入庫!F:F,出入庫!E:E,"入庫",出入庫!B:B,表格2[[#This Row],[料號]])-SUMIFS(出入庫!F:F,出入庫!E:E,"出庫",出入庫!B:B,表格2[[#This Row],[料號]])</f>
        <v>2455</v>
      </c>
      <c r="E392" s="24"/>
      <c r="F392" s="65"/>
      <c r="G392" s="65"/>
      <c r="H392" s="65" t="s">
        <v>1165</v>
      </c>
      <c r="I392" s="65"/>
    </row>
    <row r="393" spans="1:9" ht="17" x14ac:dyDescent="0.3">
      <c r="A393" s="5" t="s">
        <v>521</v>
      </c>
      <c r="B393" s="6" t="s">
        <v>522</v>
      </c>
      <c r="C393" s="6" t="s">
        <v>1166</v>
      </c>
      <c r="D393" s="25">
        <f>SUMIFS(出入庫!F:F,出入庫!E:E,"入庫",出入庫!B:B,表格2[[#This Row],[料號]])-SUMIFS(出入庫!F:F,出入庫!E:E,"出庫",出入庫!B:B,表格2[[#This Row],[料號]])</f>
        <v>0</v>
      </c>
      <c r="E393" s="24"/>
      <c r="F393" s="65"/>
      <c r="G393" s="65"/>
      <c r="H393" s="67" t="s">
        <v>1167</v>
      </c>
      <c r="I393" s="65"/>
    </row>
    <row r="394" spans="1:9" ht="15.5" x14ac:dyDescent="0.3">
      <c r="A394" s="5" t="s">
        <v>1131</v>
      </c>
      <c r="B394" s="6" t="s">
        <v>1192</v>
      </c>
      <c r="C394" s="41" t="s">
        <v>1193</v>
      </c>
      <c r="D394" s="42">
        <f>SUMIFS(出入庫!F:F,出入庫!E:E,"入庫",出入庫!B:B,表格2[[#This Row],[料號]])-SUMIFS(出入庫!F:F,出入庫!E:E,"出庫",出入庫!B:B,表格2[[#This Row],[料號]])</f>
        <v>0</v>
      </c>
      <c r="E394" s="68"/>
      <c r="F394" s="65" t="s">
        <v>1135</v>
      </c>
      <c r="G394" s="69">
        <v>500</v>
      </c>
      <c r="H394" s="69" t="s">
        <v>1136</v>
      </c>
      <c r="I394" s="69"/>
    </row>
    <row r="395" spans="1:9" ht="15.5" x14ac:dyDescent="0.3">
      <c r="A395" s="5" t="s">
        <v>1194</v>
      </c>
      <c r="B395" s="6" t="s">
        <v>1195</v>
      </c>
      <c r="C395" s="41" t="s">
        <v>1196</v>
      </c>
      <c r="D395" s="42">
        <f>SUMIFS(出入庫!F:F,出入庫!E:E,"入庫",出入庫!B:B,表格2[[#This Row],[料號]])-SUMIFS(出入庫!F:F,出入庫!E:E,"出庫",出入庫!B:B,表格2[[#This Row],[料號]])</f>
        <v>0</v>
      </c>
      <c r="E395" s="68"/>
      <c r="F395" s="69">
        <v>7</v>
      </c>
      <c r="G395" s="69">
        <v>5000</v>
      </c>
      <c r="H395" s="69" t="s">
        <v>1197</v>
      </c>
      <c r="I395" s="69">
        <v>0.1</v>
      </c>
    </row>
  </sheetData>
  <phoneticPr fontId="1" type="noConversion"/>
  <conditionalFormatting sqref="A1:A1048576">
    <cfRule type="duplicateValues" dxfId="20" priority="1"/>
  </conditionalFormatting>
  <dataValidations count="4">
    <dataValidation type="custom" allowBlank="1" showInputMessage="1" showErrorMessage="1" errorTitle="無效輸入" error="此值已存在，請輸入不重複的值。" sqref="A1:A3 A6:A9 A15:A125 A260 A395:A1048572 A265:A392 A130:A257 A12" xr:uid="{16AA1591-4E0F-48F2-8A75-C5DB6E1B2F63}">
      <formula1>COUNTIF(A:A,A2)=1</formula1>
    </dataValidation>
    <dataValidation type="custom" allowBlank="1" showInputMessage="1" showErrorMessage="1" errorTitle="無效輸入" error="此值已存在，請輸入不重複的值。" sqref="A393:A394" xr:uid="{9E4367D2-3E56-4049-8641-DBE268C814A5}">
      <formula1>COUNTIF(A:A,#REF!)=1</formula1>
    </dataValidation>
    <dataValidation type="custom" allowBlank="1" showInputMessage="1" showErrorMessage="1" errorTitle="無效輸入" error="此值已存在，請輸入不重複的值。" sqref="A261:A264 A126:A129 A1048573:A1048576" xr:uid="{29208FBB-A0E2-47CB-8739-414B4DEA496E}">
      <formula1>COUNTIF(A:A,A130)=1</formula1>
    </dataValidation>
    <dataValidation type="custom" allowBlank="1" showInputMessage="1" showErrorMessage="1" errorTitle="無效輸入" error="此值已存在，請輸入不重複的值。" sqref="A4:A5 A13:A14 A258:A259 A10:A11" xr:uid="{46AB1AAB-BD59-40BA-97E9-00770892984E}">
      <formula1>COUNTIF(A:A,A6)=1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A393" listDataValidatio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654F-B187-45C2-A741-21D8109C3BFA}">
  <sheetPr codeName="工作表4"/>
  <dimension ref="A1:E6"/>
  <sheetViews>
    <sheetView workbookViewId="0">
      <selection activeCell="C221" sqref="C221"/>
    </sheetView>
  </sheetViews>
  <sheetFormatPr defaultRowHeight="14.5" x14ac:dyDescent="0.3"/>
  <cols>
    <col min="1" max="3" width="10.69921875" style="9" customWidth="1"/>
    <col min="4" max="4" width="56.5" style="9" bestFit="1" customWidth="1"/>
    <col min="5" max="16384" width="8.796875" style="9"/>
  </cols>
  <sheetData>
    <row r="1" spans="1:5" x14ac:dyDescent="0.3">
      <c r="A1" s="9" t="s">
        <v>527</v>
      </c>
      <c r="B1" s="9" t="s">
        <v>529</v>
      </c>
    </row>
    <row r="2" spans="1:5" x14ac:dyDescent="0.3">
      <c r="A2" s="7" t="s">
        <v>803</v>
      </c>
      <c r="B2" s="7" t="s">
        <v>806</v>
      </c>
      <c r="C2" s="9" t="str" cm="1">
        <f t="array" ref="C2:C6">_xlfn.UNIQUE(_xlfn._xlws.FILTER(B2:B1000,B2:B1000&lt;&gt;""))</f>
        <v>新購</v>
      </c>
      <c r="D2" s="9" t="s">
        <v>809</v>
      </c>
      <c r="E2" s="32" t="s">
        <v>1024</v>
      </c>
    </row>
    <row r="3" spans="1:5" x14ac:dyDescent="0.3">
      <c r="A3" s="7"/>
      <c r="B3" s="7" t="s">
        <v>807</v>
      </c>
      <c r="C3" s="17" t="str">
        <v>回庫</v>
      </c>
      <c r="D3" s="9" t="e" cm="1">
        <f t="array" ref="D3">_xlfn.UNIQUE(_xlfn._xlws.FILTER(Compare!#REF!,A2:A2000&lt;&gt;""))</f>
        <v>#REF!</v>
      </c>
    </row>
    <row r="4" spans="1:5" x14ac:dyDescent="0.3">
      <c r="A4" s="7"/>
      <c r="B4" s="7" t="s">
        <v>805</v>
      </c>
      <c r="C4" s="17" t="str">
        <v>李洲</v>
      </c>
    </row>
    <row r="5" spans="1:5" x14ac:dyDescent="0.3">
      <c r="A5" s="16"/>
      <c r="B5" s="16" t="s">
        <v>811</v>
      </c>
      <c r="C5" s="17" t="str">
        <v>盤點</v>
      </c>
    </row>
    <row r="6" spans="1:5" x14ac:dyDescent="0.3">
      <c r="A6" s="16"/>
      <c r="B6" s="16" t="s">
        <v>993</v>
      </c>
      <c r="C6" s="17" t="str">
        <v>維修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E4DAE-F6EA-4A95-9BFD-29D59F0236AE}">
  <sheetPr codeName="工作表6"/>
  <dimension ref="A1:I999"/>
  <sheetViews>
    <sheetView zoomScale="85" zoomScaleNormal="85" workbookViewId="0">
      <pane ySplit="1" topLeftCell="A2" activePane="bottomLeft" state="frozen"/>
      <selection pane="bottomLeft" activeCell="D9" sqref="D9"/>
    </sheetView>
  </sheetViews>
  <sheetFormatPr defaultRowHeight="23" customHeight="1" x14ac:dyDescent="0.35"/>
  <cols>
    <col min="1" max="1" width="14.296875" style="58" bestFit="1" customWidth="1"/>
    <col min="2" max="2" width="33.5" style="36" bestFit="1" customWidth="1"/>
    <col min="3" max="3" width="107.8984375" style="36" bestFit="1" customWidth="1"/>
    <col min="4" max="4" width="21.296875" style="55" bestFit="1" customWidth="1"/>
    <col min="5" max="5" width="12.69921875" style="37" bestFit="1" customWidth="1"/>
    <col min="6" max="6" width="17.69921875" style="46" bestFit="1" customWidth="1"/>
    <col min="7" max="7" width="14.59765625" style="44" bestFit="1" customWidth="1"/>
    <col min="8" max="8" width="12.5" style="47" bestFit="1" customWidth="1"/>
    <col min="9" max="9" width="21" style="47" bestFit="1" customWidth="1"/>
    <col min="10" max="16384" width="8.796875" style="33"/>
  </cols>
  <sheetData>
    <row r="1" spans="1:9" s="38" customFormat="1" ht="43.5" customHeight="1" x14ac:dyDescent="0.6">
      <c r="A1" s="59" t="s">
        <v>1150</v>
      </c>
      <c r="B1" s="60" t="s">
        <v>1151</v>
      </c>
      <c r="C1" s="60" t="s">
        <v>1152</v>
      </c>
      <c r="D1" s="59" t="s">
        <v>1153</v>
      </c>
      <c r="E1" s="64">
        <v>300</v>
      </c>
      <c r="F1" s="61" t="s">
        <v>1154</v>
      </c>
      <c r="G1" s="62" t="s">
        <v>1155</v>
      </c>
      <c r="H1" s="63" t="s">
        <v>1129</v>
      </c>
      <c r="I1" s="63" t="s">
        <v>1130</v>
      </c>
    </row>
    <row r="2" spans="1:9" ht="23" customHeight="1" x14ac:dyDescent="0.35">
      <c r="A2" s="53" t="s">
        <v>901</v>
      </c>
      <c r="B2" s="34" t="str">
        <f>IFERROR(VLOOKUP(A2,庫存!$A:$I,2,0),"")</f>
        <v>Resister 0603</v>
      </c>
      <c r="C2" s="34" t="str">
        <f>IFERROR(VLOOKUP(A2,庫存!$A:$I,3,0),"")</f>
        <v>RES/WR06X000PTL/0R/0603/75V/JUMP/1/10W/華新科</v>
      </c>
      <c r="D2" s="52">
        <v>28</v>
      </c>
      <c r="E2" s="35">
        <f>IF(D2*$E$1=0,"",D2*$E$1)</f>
        <v>8400</v>
      </c>
      <c r="F2" s="45">
        <f>IFERROR(VLOOKUP(A2,庫存!$A:$I,4,0),"0")</f>
        <v>14074</v>
      </c>
      <c r="G2" s="43">
        <f>IFERROR(F2-E2,"")</f>
        <v>5674</v>
      </c>
      <c r="H2" s="24" t="str">
        <f>IFERROR(VLOOKUP(A2,庫存!$A:$I,8,0),"")</f>
        <v>力德</v>
      </c>
      <c r="I2" s="24">
        <f>IFERROR(VLOOKUP(A2,庫存!$A:$I,9,0),"")</f>
        <v>0</v>
      </c>
    </row>
    <row r="3" spans="1:9" ht="23" customHeight="1" x14ac:dyDescent="0.35">
      <c r="A3" s="53" t="s">
        <v>902</v>
      </c>
      <c r="B3" s="34" t="str">
        <f>IFERROR(VLOOKUP(A3,庫存!$A:$I,2,0),"")</f>
        <v>Resister 0805</v>
      </c>
      <c r="C3" s="34" t="str">
        <f>IFERROR(VLOOKUP(A3,庫存!$A:$I,3,0),"")</f>
        <v>RES/WR08X000PTL/0R/0805/150V/5%/1/8W/華新科</v>
      </c>
      <c r="D3" s="52">
        <v>5</v>
      </c>
      <c r="E3" s="35">
        <f t="shared" ref="E3:E66" si="0">IF(D3*$E$1=0,"",D3*$E$1)</f>
        <v>1500</v>
      </c>
      <c r="F3" s="45">
        <f>IFERROR(VLOOKUP(A3,庫存!$A:$I,4,0),"0")</f>
        <v>0</v>
      </c>
      <c r="G3" s="43">
        <f t="shared" ref="G3:G66" si="1">IFERROR(F3-E3,"")</f>
        <v>-1500</v>
      </c>
      <c r="H3" s="24" t="str">
        <f>IFERROR(VLOOKUP(A3,庫存!$A:$I,8,0),"")</f>
        <v>力德</v>
      </c>
      <c r="I3" s="24">
        <f>IFERROR(VLOOKUP(A3,庫存!$A:$I,9,0),"")</f>
        <v>0</v>
      </c>
    </row>
    <row r="4" spans="1:9" ht="23" customHeight="1" x14ac:dyDescent="0.35">
      <c r="A4" s="53" t="s">
        <v>903</v>
      </c>
      <c r="B4" s="34" t="str">
        <f>IFERROR(VLOOKUP(A4,庫存!$A:$I,2,0),"")</f>
        <v>Resister 0603</v>
      </c>
      <c r="C4" s="34" t="str">
        <f>IFERROR(VLOOKUP(A4,庫存!$A:$I,3,0),"")</f>
        <v>RES/WR06X100JTL/10R/0603/75V/5%/1/10W/華新科</v>
      </c>
      <c r="D4" s="52">
        <v>3</v>
      </c>
      <c r="E4" s="35">
        <f t="shared" si="0"/>
        <v>900</v>
      </c>
      <c r="F4" s="45">
        <f>IFERROR(VLOOKUP(A4,庫存!$A:$I,4,0),"0")</f>
        <v>4325</v>
      </c>
      <c r="G4" s="43">
        <f t="shared" si="1"/>
        <v>3425</v>
      </c>
      <c r="H4" s="24" t="str">
        <f>IFERROR(VLOOKUP(A4,庫存!$A:$I,8,0),"")</f>
        <v>力德</v>
      </c>
      <c r="I4" s="24">
        <f>IFERROR(VLOOKUP(A4,庫存!$A:$I,9,0),"")</f>
        <v>0</v>
      </c>
    </row>
    <row r="5" spans="1:9" ht="23" customHeight="1" x14ac:dyDescent="0.35">
      <c r="A5" s="53" t="s">
        <v>904</v>
      </c>
      <c r="B5" s="34" t="str">
        <f>IFERROR(VLOOKUP(A5,庫存!$A:$I,2,0),"")</f>
        <v>Resister 1206~2512</v>
      </c>
      <c r="C5" s="34" t="str">
        <f>IFERROR(VLOOKUP(A5,庫存!$A:$I,3,0),"")</f>
        <v>RES/WR20X39R0FTL/39R/2010/200V/1%/1/4W以上/華新科</v>
      </c>
      <c r="D5" s="52">
        <v>15</v>
      </c>
      <c r="E5" s="35">
        <f t="shared" si="0"/>
        <v>4500</v>
      </c>
      <c r="F5" s="45">
        <f>IFERROR(VLOOKUP(A5,庫存!$A:$I,4,0),"0")</f>
        <v>266</v>
      </c>
      <c r="G5" s="43">
        <f t="shared" si="1"/>
        <v>-4234</v>
      </c>
      <c r="H5" s="24" t="str">
        <f>IFERROR(VLOOKUP(A5,庫存!$A:$I,8,0),"")</f>
        <v>力德</v>
      </c>
      <c r="I5" s="24">
        <f>IFERROR(VLOOKUP(A5,庫存!$A:$I,9,0),"")</f>
        <v>0</v>
      </c>
    </row>
    <row r="6" spans="1:9" ht="23" customHeight="1" x14ac:dyDescent="0.35">
      <c r="A6" s="53" t="s">
        <v>905</v>
      </c>
      <c r="B6" s="34" t="str">
        <f>IFERROR(VLOOKUP(A6,庫存!$A:$I,2,0),"")</f>
        <v>Resister 0603</v>
      </c>
      <c r="C6" s="34" t="str">
        <f>IFERROR(VLOOKUP(A6,庫存!$A:$I,3,0),"")</f>
        <v>RES/WR06X510JTL/51R/0603/75V/5%/1/10W/華新科</v>
      </c>
      <c r="D6" s="52">
        <v>2</v>
      </c>
      <c r="E6" s="35">
        <f t="shared" si="0"/>
        <v>600</v>
      </c>
      <c r="F6" s="45">
        <f>IFERROR(VLOOKUP(A6,庫存!$A:$I,4,0),"0")</f>
        <v>3585</v>
      </c>
      <c r="G6" s="43">
        <f t="shared" si="1"/>
        <v>2985</v>
      </c>
      <c r="H6" s="24" t="str">
        <f>IFERROR(VLOOKUP(A6,庫存!$A:$I,8,0),"")</f>
        <v>力德</v>
      </c>
      <c r="I6" s="24">
        <f>IFERROR(VLOOKUP(A6,庫存!$A:$I,9,0),"")</f>
        <v>0</v>
      </c>
    </row>
    <row r="7" spans="1:9" ht="23" customHeight="1" x14ac:dyDescent="0.35">
      <c r="A7" s="53" t="s">
        <v>906</v>
      </c>
      <c r="B7" s="34" t="str">
        <f>IFERROR(VLOOKUP(A7,庫存!$A:$I,2,0),"")</f>
        <v>Resister 0603</v>
      </c>
      <c r="C7" s="34" t="str">
        <f>IFERROR(VLOOKUP(A7,庫存!$A:$I,3,0),"")</f>
        <v>RES/WR06X1000FTL/100R/0603/75V/1%/1/10W/華新科</v>
      </c>
      <c r="D7" s="52">
        <v>35</v>
      </c>
      <c r="E7" s="35">
        <f t="shared" si="0"/>
        <v>10500</v>
      </c>
      <c r="F7" s="45">
        <f>IFERROR(VLOOKUP(A7,庫存!$A:$I,4,0),"0")</f>
        <v>9237</v>
      </c>
      <c r="G7" s="43">
        <f t="shared" si="1"/>
        <v>-1263</v>
      </c>
      <c r="H7" s="24" t="str">
        <f>IFERROR(VLOOKUP(A7,庫存!$A:$I,8,0),"")</f>
        <v>力德</v>
      </c>
      <c r="I7" s="24">
        <f>IFERROR(VLOOKUP(A7,庫存!$A:$I,9,0),"")</f>
        <v>0</v>
      </c>
    </row>
    <row r="8" spans="1:9" ht="23" customHeight="1" x14ac:dyDescent="0.35">
      <c r="A8" s="53" t="s">
        <v>907</v>
      </c>
      <c r="B8" s="34" t="str">
        <f>IFERROR(VLOOKUP(A8,庫存!$A:$I,2,0),"")</f>
        <v>Resister 0805</v>
      </c>
      <c r="C8" s="34" t="str">
        <f>IFERROR(VLOOKUP(A8,庫存!$A:$I,3,0),"")</f>
        <v>RES/WR08X1000FTL/100R/0805/150V/1%/1/8W/華新科</v>
      </c>
      <c r="D8" s="52">
        <v>2</v>
      </c>
      <c r="E8" s="35">
        <f t="shared" si="0"/>
        <v>600</v>
      </c>
      <c r="F8" s="45">
        <f>IFERROR(VLOOKUP(A8,庫存!$A:$I,4,0),"0")</f>
        <v>0</v>
      </c>
      <c r="G8" s="43">
        <f t="shared" si="1"/>
        <v>-600</v>
      </c>
      <c r="H8" s="24" t="str">
        <f>IFERROR(VLOOKUP(A8,庫存!$A:$I,8,0),"")</f>
        <v>力德</v>
      </c>
      <c r="I8" s="24">
        <f>IFERROR(VLOOKUP(A8,庫存!$A:$I,9,0),"")</f>
        <v>0</v>
      </c>
    </row>
    <row r="9" spans="1:9" ht="23" customHeight="1" x14ac:dyDescent="0.35">
      <c r="A9" s="53" t="s">
        <v>908</v>
      </c>
      <c r="B9" s="34" t="str">
        <f>IFERROR(VLOOKUP(A9,庫存!$A:$I,2,0),"")</f>
        <v>Resister 0603</v>
      </c>
      <c r="C9" s="34" t="str">
        <f>IFERROR(VLOOKUP(A9,庫存!$A:$I,3,0),"")</f>
        <v>RES/WR06X1200FTL/120R/0603/75V/1%/1/10W/華新科</v>
      </c>
      <c r="D9" s="52">
        <v>2</v>
      </c>
      <c r="E9" s="35">
        <f t="shared" si="0"/>
        <v>600</v>
      </c>
      <c r="F9" s="45">
        <f>IFERROR(VLOOKUP(A9,庫存!$A:$I,4,0),"0")</f>
        <v>4118</v>
      </c>
      <c r="G9" s="43">
        <f t="shared" si="1"/>
        <v>3518</v>
      </c>
      <c r="H9" s="24" t="str">
        <f>IFERROR(VLOOKUP(A9,庫存!$A:$I,8,0),"")</f>
        <v>力德</v>
      </c>
      <c r="I9" s="24">
        <f>IFERROR(VLOOKUP(A9,庫存!$A:$I,9,0),"")</f>
        <v>0</v>
      </c>
    </row>
    <row r="10" spans="1:9" ht="23" customHeight="1" x14ac:dyDescent="0.35">
      <c r="A10" s="53" t="s">
        <v>909</v>
      </c>
      <c r="B10" s="34" t="str">
        <f>IFERROR(VLOOKUP(A10,庫存!$A:$I,2,0),"")</f>
        <v>Resister 0603</v>
      </c>
      <c r="C10" s="34" t="str">
        <f>IFERROR(VLOOKUP(A10,庫存!$A:$I,3,0),"")</f>
        <v>RES/WR06X5100FTL/510R/0603/75V/1%/1/10W/華新科</v>
      </c>
      <c r="D10" s="52">
        <v>5</v>
      </c>
      <c r="E10" s="35">
        <f t="shared" si="0"/>
        <v>1500</v>
      </c>
      <c r="F10" s="45">
        <f>IFERROR(VLOOKUP(A10,庫存!$A:$I,4,0),"0")</f>
        <v>2673</v>
      </c>
      <c r="G10" s="43">
        <f t="shared" si="1"/>
        <v>1173</v>
      </c>
      <c r="H10" s="24" t="str">
        <f>IFERROR(VLOOKUP(A10,庫存!$A:$I,8,0),"")</f>
        <v>力德</v>
      </c>
      <c r="I10" s="24">
        <f>IFERROR(VLOOKUP(A10,庫存!$A:$I,9,0),"")</f>
        <v>0</v>
      </c>
    </row>
    <row r="11" spans="1:9" ht="23" customHeight="1" x14ac:dyDescent="0.35">
      <c r="A11" s="53" t="s">
        <v>910</v>
      </c>
      <c r="B11" s="34" t="str">
        <f>IFERROR(VLOOKUP(A11,庫存!$A:$I,2,0),"")</f>
        <v>Resister 0603</v>
      </c>
      <c r="C11" s="34" t="str">
        <f>IFERROR(VLOOKUP(A11,庫存!$A:$I,3,0),"")</f>
        <v>RES/WR06X1001FTL/1K/0603/75V/1%/1/10W/華新科</v>
      </c>
      <c r="D11" s="52">
        <v>50</v>
      </c>
      <c r="E11" s="35">
        <f t="shared" si="0"/>
        <v>15000</v>
      </c>
      <c r="F11" s="45">
        <f>IFERROR(VLOOKUP(A11,庫存!$A:$I,4,0),"0")</f>
        <v>15085</v>
      </c>
      <c r="G11" s="43">
        <f t="shared" si="1"/>
        <v>85</v>
      </c>
      <c r="H11" s="24" t="str">
        <f>IFERROR(VLOOKUP(A11,庫存!$A:$I,8,0),"")</f>
        <v>力德</v>
      </c>
      <c r="I11" s="24">
        <f>IFERROR(VLOOKUP(A11,庫存!$A:$I,9,0),"")</f>
        <v>0</v>
      </c>
    </row>
    <row r="12" spans="1:9" ht="23" customHeight="1" x14ac:dyDescent="0.35">
      <c r="A12" s="53" t="s">
        <v>911</v>
      </c>
      <c r="B12" s="34" t="str">
        <f>IFERROR(VLOOKUP(A12,庫存!$A:$I,2,0),"")</f>
        <v>Resister 0805</v>
      </c>
      <c r="C12" s="34" t="str">
        <f>IFERROR(VLOOKUP(A12,庫存!$A:$I,3,0),"")</f>
        <v>RES/WR08X1001FTL/1K/0805/150V/1%/1/8W/華新科</v>
      </c>
      <c r="D12" s="52">
        <v>1</v>
      </c>
      <c r="E12" s="35">
        <f t="shared" si="0"/>
        <v>300</v>
      </c>
      <c r="F12" s="45">
        <f>IFERROR(VLOOKUP(A12,庫存!$A:$I,4,0),"0")</f>
        <v>0</v>
      </c>
      <c r="G12" s="43">
        <f t="shared" si="1"/>
        <v>-300</v>
      </c>
      <c r="H12" s="24" t="str">
        <f>IFERROR(VLOOKUP(A12,庫存!$A:$I,8,0),"")</f>
        <v>力德</v>
      </c>
      <c r="I12" s="24">
        <f>IFERROR(VLOOKUP(A12,庫存!$A:$I,9,0),"")</f>
        <v>0</v>
      </c>
    </row>
    <row r="13" spans="1:9" ht="23" customHeight="1" x14ac:dyDescent="0.35">
      <c r="A13" s="53" t="s">
        <v>912</v>
      </c>
      <c r="B13" s="34" t="str">
        <f>IFERROR(VLOOKUP(A13,庫存!$A:$I,2,0),"")</f>
        <v>Resister 1206~2512</v>
      </c>
      <c r="C13" s="34" t="str">
        <f>IFERROR(VLOOKUP(A13,庫存!$A:$I,3,0),"")</f>
        <v>RES/FPF25FP-1001/1K/2512/300V/1%/2W/信昌</v>
      </c>
      <c r="D13" s="52">
        <v>6</v>
      </c>
      <c r="E13" s="35">
        <f t="shared" si="0"/>
        <v>1800</v>
      </c>
      <c r="F13" s="45">
        <f>IFERROR(VLOOKUP(A13,庫存!$A:$I,4,0),"0")</f>
        <v>0</v>
      </c>
      <c r="G13" s="43">
        <f t="shared" si="1"/>
        <v>-1800</v>
      </c>
      <c r="H13" s="24" t="str">
        <f>IFERROR(VLOOKUP(A13,庫存!$A:$I,8,0),"")</f>
        <v>力德</v>
      </c>
      <c r="I13" s="24">
        <f>IFERROR(VLOOKUP(A13,庫存!$A:$I,9,0),"")</f>
        <v>0</v>
      </c>
    </row>
    <row r="14" spans="1:9" ht="23" customHeight="1" x14ac:dyDescent="0.35">
      <c r="A14" s="53" t="s">
        <v>913</v>
      </c>
      <c r="B14" s="34" t="str">
        <f>IFERROR(VLOOKUP(A14,庫存!$A:$I,2,0),"")</f>
        <v>Resister 0603</v>
      </c>
      <c r="C14" s="34" t="str">
        <f>IFERROR(VLOOKUP(A14,庫存!$A:$I,3,0),"")</f>
        <v>RES/WR06X222JTL/2.2K/0603/75V/5%/1/10W/華新科</v>
      </c>
      <c r="D14" s="52">
        <v>1</v>
      </c>
      <c r="E14" s="35">
        <f t="shared" si="0"/>
        <v>300</v>
      </c>
      <c r="F14" s="45">
        <f>IFERROR(VLOOKUP(A14,庫存!$A:$I,4,0),"0")</f>
        <v>4011</v>
      </c>
      <c r="G14" s="43">
        <f t="shared" si="1"/>
        <v>3711</v>
      </c>
      <c r="H14" s="24" t="str">
        <f>IFERROR(VLOOKUP(A14,庫存!$A:$I,8,0),"")</f>
        <v>力德</v>
      </c>
      <c r="I14" s="24">
        <f>IFERROR(VLOOKUP(A14,庫存!$A:$I,9,0),"")</f>
        <v>0</v>
      </c>
    </row>
    <row r="15" spans="1:9" ht="23" customHeight="1" x14ac:dyDescent="0.35">
      <c r="A15" s="53" t="s">
        <v>914</v>
      </c>
      <c r="B15" s="34" t="str">
        <f>IFERROR(VLOOKUP(A15,庫存!$A:$I,2,0),"")</f>
        <v>Resister 0603</v>
      </c>
      <c r="C15" s="34" t="str">
        <f>IFERROR(VLOOKUP(A15,庫存!$A:$I,3,0),"")</f>
        <v>RES/WR06X4701FTL/4.7K/0603/75V/1%/1/10W/華新科</v>
      </c>
      <c r="D15" s="52">
        <v>6</v>
      </c>
      <c r="E15" s="35">
        <f t="shared" si="0"/>
        <v>1800</v>
      </c>
      <c r="F15" s="45">
        <f>IFERROR(VLOOKUP(A15,庫存!$A:$I,4,0),"0")</f>
        <v>52</v>
      </c>
      <c r="G15" s="43">
        <f t="shared" si="1"/>
        <v>-1748</v>
      </c>
      <c r="H15" s="24" t="str">
        <f>IFERROR(VLOOKUP(A15,庫存!$A:$I,8,0),"")</f>
        <v>力德</v>
      </c>
      <c r="I15" s="24">
        <f>IFERROR(VLOOKUP(A15,庫存!$A:$I,9,0),"")</f>
        <v>0</v>
      </c>
    </row>
    <row r="16" spans="1:9" ht="23" customHeight="1" x14ac:dyDescent="0.35">
      <c r="A16" s="53" t="s">
        <v>915</v>
      </c>
      <c r="B16" s="34" t="str">
        <f>IFERROR(VLOOKUP(A16,庫存!$A:$I,2,0),"")</f>
        <v>Resister 0603</v>
      </c>
      <c r="C16" s="34" t="str">
        <f>IFERROR(VLOOKUP(A16,庫存!$A:$I,3,0),"")</f>
        <v>RES/WR06X103JTL/10K/0603/75V/5%/1/10W/華新科</v>
      </c>
      <c r="D16" s="52">
        <v>35</v>
      </c>
      <c r="E16" s="35">
        <f t="shared" si="0"/>
        <v>10500</v>
      </c>
      <c r="F16" s="45">
        <f>IFERROR(VLOOKUP(A16,庫存!$A:$I,4,0),"0")</f>
        <v>6235</v>
      </c>
      <c r="G16" s="43">
        <f t="shared" si="1"/>
        <v>-4265</v>
      </c>
      <c r="H16" s="24" t="str">
        <f>IFERROR(VLOOKUP(A16,庫存!$A:$I,8,0),"")</f>
        <v>力德</v>
      </c>
      <c r="I16" s="24">
        <f>IFERROR(VLOOKUP(A16,庫存!$A:$I,9,0),"")</f>
        <v>0</v>
      </c>
    </row>
    <row r="17" spans="1:9" ht="23" customHeight="1" x14ac:dyDescent="0.35">
      <c r="A17" s="53" t="s">
        <v>916</v>
      </c>
      <c r="B17" s="34" t="str">
        <f>IFERROR(VLOOKUP(A17,庫存!$A:$I,2,0),"")</f>
        <v>Resister 0805</v>
      </c>
      <c r="C17" s="34" t="str">
        <f>IFERROR(VLOOKUP(A17,庫存!$A:$I,3,0),"")</f>
        <v>RES/WR08X1002FTL/10K/0805/150V/1%/1/8W/華新科</v>
      </c>
      <c r="D17" s="52">
        <v>3</v>
      </c>
      <c r="E17" s="35">
        <f t="shared" si="0"/>
        <v>900</v>
      </c>
      <c r="F17" s="45">
        <f>IFERROR(VLOOKUP(A17,庫存!$A:$I,4,0),"0")</f>
        <v>0</v>
      </c>
      <c r="G17" s="43">
        <f t="shared" si="1"/>
        <v>-900</v>
      </c>
      <c r="H17" s="24" t="str">
        <f>IFERROR(VLOOKUP(A17,庫存!$A:$I,8,0),"")</f>
        <v>力德</v>
      </c>
      <c r="I17" s="24">
        <f>IFERROR(VLOOKUP(A17,庫存!$A:$I,9,0),"")</f>
        <v>0</v>
      </c>
    </row>
    <row r="18" spans="1:9" ht="23" customHeight="1" x14ac:dyDescent="0.35">
      <c r="A18" s="53" t="s">
        <v>157</v>
      </c>
      <c r="B18" s="34" t="str">
        <f>IFERROR(VLOOKUP(A18,庫存!$A:$I,2,0),"")</f>
        <v>Resister 0603</v>
      </c>
      <c r="C18" s="34" t="str">
        <f>IFERROR(VLOOKUP(A18,庫存!$A:$I,3,0),"")</f>
        <v>RES/WR06X1802FTL/18K/0603/75V/1%/1/10W/華新科</v>
      </c>
      <c r="D18" s="52">
        <v>1</v>
      </c>
      <c r="E18" s="35">
        <f t="shared" si="0"/>
        <v>300</v>
      </c>
      <c r="F18" s="45">
        <f>IFERROR(VLOOKUP(A18,庫存!$A:$I,4,0),"0")</f>
        <v>0</v>
      </c>
      <c r="G18" s="43">
        <f t="shared" si="1"/>
        <v>-300</v>
      </c>
      <c r="H18" s="24" t="str">
        <f>IFERROR(VLOOKUP(A18,庫存!$A:$I,8,0),"")</f>
        <v>力德</v>
      </c>
      <c r="I18" s="24">
        <f>IFERROR(VLOOKUP(A18,庫存!$A:$I,9,0),"")</f>
        <v>0</v>
      </c>
    </row>
    <row r="19" spans="1:9" ht="23" customHeight="1" x14ac:dyDescent="0.35">
      <c r="A19" s="53" t="s">
        <v>917</v>
      </c>
      <c r="B19" s="34" t="str">
        <f>IFERROR(VLOOKUP(A19,庫存!$A:$I,2,0),"")</f>
        <v>Resister 0603</v>
      </c>
      <c r="C19" s="34" t="str">
        <f>IFERROR(VLOOKUP(A19,庫存!$A:$I,3,0),"")</f>
        <v>RES/WR06X2002FTL/20K/0603/75V/1%/1/10W/華新科</v>
      </c>
      <c r="D19" s="52">
        <v>2</v>
      </c>
      <c r="E19" s="35">
        <f t="shared" si="0"/>
        <v>600</v>
      </c>
      <c r="F19" s="45">
        <f>IFERROR(VLOOKUP(A19,庫存!$A:$I,4,0),"0")</f>
        <v>2388</v>
      </c>
      <c r="G19" s="43">
        <f t="shared" si="1"/>
        <v>1788</v>
      </c>
      <c r="H19" s="24" t="str">
        <f>IFERROR(VLOOKUP(A19,庫存!$A:$I,8,0),"")</f>
        <v>力德</v>
      </c>
      <c r="I19" s="24">
        <f>IFERROR(VLOOKUP(A19,庫存!$A:$I,9,0),"")</f>
        <v>0</v>
      </c>
    </row>
    <row r="20" spans="1:9" ht="23" customHeight="1" x14ac:dyDescent="0.35">
      <c r="A20" s="53" t="s">
        <v>918</v>
      </c>
      <c r="B20" s="34" t="str">
        <f>IFERROR(VLOOKUP(A20,庫存!$A:$I,2,0),"")</f>
        <v>Resister 0805</v>
      </c>
      <c r="C20" s="34" t="str">
        <f>IFERROR(VLOOKUP(A20,庫存!$A:$I,3,0),"")</f>
        <v>RES/WR08X2002FTL/20K/0805/150V/1%/1/8W/華新科</v>
      </c>
      <c r="D20" s="52">
        <v>1</v>
      </c>
      <c r="E20" s="35">
        <f t="shared" si="0"/>
        <v>300</v>
      </c>
      <c r="F20" s="45">
        <f>IFERROR(VLOOKUP(A20,庫存!$A:$I,4,0),"0")</f>
        <v>0</v>
      </c>
      <c r="G20" s="43">
        <f t="shared" si="1"/>
        <v>-300</v>
      </c>
      <c r="H20" s="24" t="str">
        <f>IFERROR(VLOOKUP(A20,庫存!$A:$I,8,0),"")</f>
        <v>力德</v>
      </c>
      <c r="I20" s="24">
        <f>IFERROR(VLOOKUP(A20,庫存!$A:$I,9,0),"")</f>
        <v>0</v>
      </c>
    </row>
    <row r="21" spans="1:9" ht="23" customHeight="1" x14ac:dyDescent="0.35">
      <c r="A21" s="53" t="s">
        <v>919</v>
      </c>
      <c r="B21" s="34" t="str">
        <f>IFERROR(VLOOKUP(A21,庫存!$A:$I,2,0),"")</f>
        <v>Resister 0805</v>
      </c>
      <c r="C21" s="34" t="str">
        <f>IFERROR(VLOOKUP(A21,庫存!$A:$I,3,0),"")</f>
        <v>RES/WR08X2552FTL/25.5K/0805/150V/1%/1/8W/華新科</v>
      </c>
      <c r="D21" s="52">
        <v>1</v>
      </c>
      <c r="E21" s="35">
        <f t="shared" si="0"/>
        <v>300</v>
      </c>
      <c r="F21" s="45">
        <f>IFERROR(VLOOKUP(A21,庫存!$A:$I,4,0),"0")</f>
        <v>0</v>
      </c>
      <c r="G21" s="43">
        <f t="shared" si="1"/>
        <v>-300</v>
      </c>
      <c r="H21" s="24" t="str">
        <f>IFERROR(VLOOKUP(A21,庫存!$A:$I,8,0),"")</f>
        <v>力德</v>
      </c>
      <c r="I21" s="24">
        <f>IFERROR(VLOOKUP(A21,庫存!$A:$I,9,0),"")</f>
        <v>0</v>
      </c>
    </row>
    <row r="22" spans="1:9" ht="23" customHeight="1" x14ac:dyDescent="0.35">
      <c r="A22" s="53" t="s">
        <v>920</v>
      </c>
      <c r="B22" s="34" t="str">
        <f>IFERROR(VLOOKUP(A22,庫存!$A:$I,2,0),"")</f>
        <v>Resister 0603</v>
      </c>
      <c r="C22" s="34" t="str">
        <f>IFERROR(VLOOKUP(A22,庫存!$A:$I,3,0),"")</f>
        <v>RES/WR06X393JTL/39K/0603/75V/5%/1/10W/華新科</v>
      </c>
      <c r="D22" s="52">
        <v>1</v>
      </c>
      <c r="E22" s="35">
        <f t="shared" si="0"/>
        <v>300</v>
      </c>
      <c r="F22" s="45">
        <f>IFERROR(VLOOKUP(A22,庫存!$A:$I,4,0),"0")</f>
        <v>4688</v>
      </c>
      <c r="G22" s="43">
        <f t="shared" si="1"/>
        <v>4388</v>
      </c>
      <c r="H22" s="24" t="str">
        <f>IFERROR(VLOOKUP(A22,庫存!$A:$I,8,0),"")</f>
        <v>力德</v>
      </c>
      <c r="I22" s="24">
        <f>IFERROR(VLOOKUP(A22,庫存!$A:$I,9,0),"")</f>
        <v>0</v>
      </c>
    </row>
    <row r="23" spans="1:9" ht="23" customHeight="1" x14ac:dyDescent="0.35">
      <c r="A23" s="53" t="s">
        <v>921</v>
      </c>
      <c r="B23" s="34" t="str">
        <f>IFERROR(VLOOKUP(A23,庫存!$A:$I,2,0),"")</f>
        <v>Resister 0603</v>
      </c>
      <c r="C23" s="34" t="str">
        <f>IFERROR(VLOOKUP(A23,庫存!$A:$I,3,0),"")</f>
        <v>RES/WR06X4992FTL/49.9K/0603/75V/1%/1/10W/華新科</v>
      </c>
      <c r="D23" s="52">
        <v>1</v>
      </c>
      <c r="E23" s="35">
        <f t="shared" si="0"/>
        <v>300</v>
      </c>
      <c r="F23" s="45">
        <f>IFERROR(VLOOKUP(A23,庫存!$A:$I,4,0),"0")</f>
        <v>4314</v>
      </c>
      <c r="G23" s="43">
        <f t="shared" si="1"/>
        <v>4014</v>
      </c>
      <c r="H23" s="24" t="str">
        <f>IFERROR(VLOOKUP(A23,庫存!$A:$I,8,0),"")</f>
        <v>力德</v>
      </c>
      <c r="I23" s="24">
        <f>IFERROR(VLOOKUP(A23,庫存!$A:$I,9,0),"")</f>
        <v>0</v>
      </c>
    </row>
    <row r="24" spans="1:9" ht="23" customHeight="1" x14ac:dyDescent="0.35">
      <c r="A24" s="53" t="s">
        <v>922</v>
      </c>
      <c r="B24" s="34" t="str">
        <f>IFERROR(VLOOKUP(A24,庫存!$A:$I,2,0),"")</f>
        <v>Resister 0805</v>
      </c>
      <c r="C24" s="34" t="str">
        <f>IFERROR(VLOOKUP(A24,庫存!$A:$I,3,0),"")</f>
        <v>RES/WR08X5102FTL/51K/0805/150V/1%/1/8W/華新科</v>
      </c>
      <c r="D24" s="52">
        <v>3</v>
      </c>
      <c r="E24" s="35">
        <f t="shared" si="0"/>
        <v>900</v>
      </c>
      <c r="F24" s="45">
        <f>IFERROR(VLOOKUP(A24,庫存!$A:$I,4,0),"0")</f>
        <v>0</v>
      </c>
      <c r="G24" s="43">
        <f t="shared" si="1"/>
        <v>-900</v>
      </c>
      <c r="H24" s="24" t="str">
        <f>IFERROR(VLOOKUP(A24,庫存!$A:$I,8,0),"")</f>
        <v>力德</v>
      </c>
      <c r="I24" s="24">
        <f>IFERROR(VLOOKUP(A24,庫存!$A:$I,9,0),"")</f>
        <v>0</v>
      </c>
    </row>
    <row r="25" spans="1:9" ht="23" customHeight="1" x14ac:dyDescent="0.35">
      <c r="A25" s="53" t="s">
        <v>923</v>
      </c>
      <c r="B25" s="34" t="str">
        <f>IFERROR(VLOOKUP(A25,庫存!$A:$I,2,0),"")</f>
        <v>Resister 0603</v>
      </c>
      <c r="C25" s="34" t="str">
        <f>IFERROR(VLOOKUP(A25,庫存!$A:$I,3,0),"")</f>
        <v>RES/WR06X5102FTL/51K/0603/75V/1%/1/10W/華新科</v>
      </c>
      <c r="D25" s="52">
        <v>5</v>
      </c>
      <c r="E25" s="35">
        <f t="shared" si="0"/>
        <v>1500</v>
      </c>
      <c r="F25" s="45">
        <f>IFERROR(VLOOKUP(A25,庫存!$A:$I,4,0),"0")</f>
        <v>3341</v>
      </c>
      <c r="G25" s="43">
        <f t="shared" si="1"/>
        <v>1841</v>
      </c>
      <c r="H25" s="24" t="str">
        <f>IFERROR(VLOOKUP(A25,庫存!$A:$I,8,0),"")</f>
        <v>力德</v>
      </c>
      <c r="I25" s="24">
        <f>IFERROR(VLOOKUP(A25,庫存!$A:$I,9,0),"")</f>
        <v>0</v>
      </c>
    </row>
    <row r="26" spans="1:9" ht="23" customHeight="1" x14ac:dyDescent="0.35">
      <c r="A26" s="53" t="s">
        <v>156</v>
      </c>
      <c r="B26" s="34" t="str">
        <f>IFERROR(VLOOKUP(A26,庫存!$A:$I,2,0),"")</f>
        <v>Resister 0603</v>
      </c>
      <c r="C26" s="34" t="str">
        <f>IFERROR(VLOOKUP(A26,庫存!$A:$I,3,0),"")</f>
        <v>RES/WR06X5602FTL/56K/0603/75V/1%/1/10W/華新科</v>
      </c>
      <c r="D26" s="52">
        <v>1</v>
      </c>
      <c r="E26" s="35">
        <f t="shared" si="0"/>
        <v>300</v>
      </c>
      <c r="F26" s="45">
        <f>IFERROR(VLOOKUP(A26,庫存!$A:$I,4,0),"0")</f>
        <v>0</v>
      </c>
      <c r="G26" s="43">
        <f t="shared" si="1"/>
        <v>-300</v>
      </c>
      <c r="H26" s="24" t="str">
        <f>IFERROR(VLOOKUP(A26,庫存!$A:$I,8,0),"")</f>
        <v>力德</v>
      </c>
      <c r="I26" s="24">
        <f>IFERROR(VLOOKUP(A26,庫存!$A:$I,9,0),"")</f>
        <v>0</v>
      </c>
    </row>
    <row r="27" spans="1:9" ht="23" customHeight="1" x14ac:dyDescent="0.35">
      <c r="A27" s="53" t="s">
        <v>924</v>
      </c>
      <c r="B27" s="34" t="str">
        <f>IFERROR(VLOOKUP(A27,庫存!$A:$I,2,0),"")</f>
        <v>Resister 0603</v>
      </c>
      <c r="C27" s="34" t="str">
        <f>IFERROR(VLOOKUP(A27,庫存!$A:$I,3,0),"")</f>
        <v>RES/WR06X1003FTL/100K/0603/75V/1%/1/10W/華新科</v>
      </c>
      <c r="D27" s="52">
        <v>30</v>
      </c>
      <c r="E27" s="35">
        <f t="shared" si="0"/>
        <v>9000</v>
      </c>
      <c r="F27" s="45">
        <f>IFERROR(VLOOKUP(A27,庫存!$A:$I,4,0),"0")</f>
        <v>0</v>
      </c>
      <c r="G27" s="43">
        <f t="shared" si="1"/>
        <v>-9000</v>
      </c>
      <c r="H27" s="24" t="str">
        <f>IFERROR(VLOOKUP(A27,庫存!$A:$I,8,0),"")</f>
        <v>力德</v>
      </c>
      <c r="I27" s="24">
        <f>IFERROR(VLOOKUP(A27,庫存!$A:$I,9,0),"")</f>
        <v>0</v>
      </c>
    </row>
    <row r="28" spans="1:9" ht="23" customHeight="1" x14ac:dyDescent="0.35">
      <c r="A28" s="53" t="s">
        <v>144</v>
      </c>
      <c r="B28" s="34" t="str">
        <f>IFERROR(VLOOKUP(A28,庫存!$A:$I,2,0),"")</f>
        <v>Resister 0603</v>
      </c>
      <c r="C28" s="34" t="str">
        <f>IFERROR(VLOOKUP(A28,庫存!$A:$I,3,0),"")</f>
        <v>RES/WR06X154JTL/150K/0603/75V/5%/1/10W/華新科</v>
      </c>
      <c r="D28" s="52">
        <v>1</v>
      </c>
      <c r="E28" s="35">
        <f t="shared" si="0"/>
        <v>300</v>
      </c>
      <c r="F28" s="45">
        <f>IFERROR(VLOOKUP(A28,庫存!$A:$I,4,0),"0")</f>
        <v>10000</v>
      </c>
      <c r="G28" s="43">
        <f t="shared" si="1"/>
        <v>9700</v>
      </c>
      <c r="H28" s="24" t="str">
        <f>IFERROR(VLOOKUP(A28,庫存!$A:$I,8,0),"")</f>
        <v>力德</v>
      </c>
      <c r="I28" s="24">
        <f>IFERROR(VLOOKUP(A28,庫存!$A:$I,9,0),"")</f>
        <v>0</v>
      </c>
    </row>
    <row r="29" spans="1:9" ht="23" customHeight="1" x14ac:dyDescent="0.35">
      <c r="A29" s="53" t="s">
        <v>925</v>
      </c>
      <c r="B29" s="34" t="str">
        <f>IFERROR(VLOOKUP(A29,庫存!$A:$I,2,0),"")</f>
        <v>Resister 0603</v>
      </c>
      <c r="C29" s="34" t="str">
        <f>IFERROR(VLOOKUP(A29,庫存!$A:$I,3,0),"")</f>
        <v>RES/WR06X2003FTL/200K/0603/75V/1%/1/10W/華新科</v>
      </c>
      <c r="D29" s="52">
        <v>3</v>
      </c>
      <c r="E29" s="35">
        <f t="shared" si="0"/>
        <v>900</v>
      </c>
      <c r="F29" s="45">
        <f>IFERROR(VLOOKUP(A29,庫存!$A:$I,4,0),"0")</f>
        <v>3522</v>
      </c>
      <c r="G29" s="43">
        <f t="shared" si="1"/>
        <v>2622</v>
      </c>
      <c r="H29" s="24" t="str">
        <f>IFERROR(VLOOKUP(A29,庫存!$A:$I,8,0),"")</f>
        <v>力德</v>
      </c>
      <c r="I29" s="24">
        <f>IFERROR(VLOOKUP(A29,庫存!$A:$I,9,0),"")</f>
        <v>0</v>
      </c>
    </row>
    <row r="30" spans="1:9" ht="23" customHeight="1" x14ac:dyDescent="0.35">
      <c r="A30" s="53" t="s">
        <v>926</v>
      </c>
      <c r="B30" s="34" t="str">
        <f>IFERROR(VLOOKUP(A30,庫存!$A:$I,2,0),"")</f>
        <v>Resister 0603</v>
      </c>
      <c r="C30" s="34" t="str">
        <f>IFERROR(VLOOKUP(A30,庫存!$A:$I,3,0),"")</f>
        <v>RES/WR06X2203FTL/220K/0603/75V/1%/1/10W/華新科</v>
      </c>
      <c r="D30" s="52">
        <v>1</v>
      </c>
      <c r="E30" s="35">
        <f t="shared" si="0"/>
        <v>300</v>
      </c>
      <c r="F30" s="45">
        <f>IFERROR(VLOOKUP(A30,庫存!$A:$I,4,0),"0")</f>
        <v>3368</v>
      </c>
      <c r="G30" s="43">
        <f t="shared" si="1"/>
        <v>3068</v>
      </c>
      <c r="H30" s="24" t="str">
        <f>IFERROR(VLOOKUP(A30,庫存!$A:$I,8,0),"")</f>
        <v>力德</v>
      </c>
      <c r="I30" s="24">
        <f>IFERROR(VLOOKUP(A30,庫存!$A:$I,9,0),"")</f>
        <v>0</v>
      </c>
    </row>
    <row r="31" spans="1:9" ht="23" customHeight="1" x14ac:dyDescent="0.35">
      <c r="A31" s="53" t="s">
        <v>927</v>
      </c>
      <c r="B31" s="34" t="str">
        <f>IFERROR(VLOOKUP(A31,庫存!$A:$I,2,0),"")</f>
        <v>Resister 0603</v>
      </c>
      <c r="C31" s="34" t="str">
        <f>IFERROR(VLOOKUP(A31,庫存!$A:$I,3,0),"")</f>
        <v>RES/WF06H3303BTL/330K/0603/75V/0.1%/1/10W/華新科</v>
      </c>
      <c r="D31" s="52">
        <v>1</v>
      </c>
      <c r="E31" s="35">
        <f t="shared" si="0"/>
        <v>300</v>
      </c>
      <c r="F31" s="45">
        <f>IFERROR(VLOOKUP(A31,庫存!$A:$I,4,0),"0")</f>
        <v>4164</v>
      </c>
      <c r="G31" s="43">
        <f t="shared" si="1"/>
        <v>3864</v>
      </c>
      <c r="H31" s="24" t="str">
        <f>IFERROR(VLOOKUP(A31,庫存!$A:$I,8,0),"")</f>
        <v>力德</v>
      </c>
      <c r="I31" s="24">
        <f>IFERROR(VLOOKUP(A31,庫存!$A:$I,9,0),"")</f>
        <v>0</v>
      </c>
    </row>
    <row r="32" spans="1:9" ht="23" customHeight="1" x14ac:dyDescent="0.35">
      <c r="A32" s="53" t="s">
        <v>145</v>
      </c>
      <c r="B32" s="34" t="str">
        <f>IFERROR(VLOOKUP(A32,庫存!$A:$I,2,0),"")</f>
        <v>Resister 0603</v>
      </c>
      <c r="C32" s="34" t="str">
        <f>IFERROR(VLOOKUP(A32,庫存!$A:$I,3,0),"")</f>
        <v>RES/WR06X394JTL/390K/0603/75V/5%/1/10W/華新科</v>
      </c>
      <c r="D32" s="52">
        <v>1</v>
      </c>
      <c r="E32" s="35">
        <f t="shared" si="0"/>
        <v>300</v>
      </c>
      <c r="F32" s="45">
        <f>IFERROR(VLOOKUP(A32,庫存!$A:$I,4,0),"0")</f>
        <v>5000</v>
      </c>
      <c r="G32" s="43">
        <f t="shared" si="1"/>
        <v>4700</v>
      </c>
      <c r="H32" s="24" t="str">
        <f>IFERROR(VLOOKUP(A32,庫存!$A:$I,8,0),"")</f>
        <v>力德</v>
      </c>
      <c r="I32" s="24">
        <f>IFERROR(VLOOKUP(A32,庫存!$A:$I,9,0),"")</f>
        <v>0</v>
      </c>
    </row>
    <row r="33" spans="1:9" ht="23" customHeight="1" x14ac:dyDescent="0.35">
      <c r="A33" s="53" t="s">
        <v>928</v>
      </c>
      <c r="B33" s="34" t="str">
        <f>IFERROR(VLOOKUP(A33,庫存!$A:$I,2,0),"")</f>
        <v>Resister 0603</v>
      </c>
      <c r="C33" s="34" t="str">
        <f>IFERROR(VLOOKUP(A33,庫存!$A:$I,3,0),"")</f>
        <v>RES/WR06X4533FTL/453K/0603/75V/1%/1/10W/華新科</v>
      </c>
      <c r="D33" s="52">
        <v>2</v>
      </c>
      <c r="E33" s="35">
        <f t="shared" si="0"/>
        <v>600</v>
      </c>
      <c r="F33" s="45">
        <f>IFERROR(VLOOKUP(A33,庫存!$A:$I,4,0),"0")</f>
        <v>3827</v>
      </c>
      <c r="G33" s="43">
        <f t="shared" si="1"/>
        <v>3227</v>
      </c>
      <c r="H33" s="24" t="str">
        <f>IFERROR(VLOOKUP(A33,庫存!$A:$I,8,0),"")</f>
        <v>力德</v>
      </c>
      <c r="I33" s="24">
        <f>IFERROR(VLOOKUP(A33,庫存!$A:$I,9,0),"")</f>
        <v>0</v>
      </c>
    </row>
    <row r="34" spans="1:9" ht="23" customHeight="1" x14ac:dyDescent="0.35">
      <c r="A34" s="53" t="s">
        <v>929</v>
      </c>
      <c r="B34" s="34" t="str">
        <f>IFERROR(VLOOKUP(A34,庫存!$A:$I,2,0),"")</f>
        <v>Resister 0603</v>
      </c>
      <c r="C34" s="34" t="str">
        <f>IFERROR(VLOOKUP(A34,庫存!$A:$I,3,0),"")</f>
        <v>RES/WR06X4703FTL/470K/0603/75V/1%/1/10W/華新科</v>
      </c>
      <c r="D34" s="52">
        <v>4</v>
      </c>
      <c r="E34" s="35">
        <f t="shared" si="0"/>
        <v>1200</v>
      </c>
      <c r="F34" s="45">
        <f>IFERROR(VLOOKUP(A34,庫存!$A:$I,4,0),"0")</f>
        <v>2867</v>
      </c>
      <c r="G34" s="43">
        <f t="shared" si="1"/>
        <v>1667</v>
      </c>
      <c r="H34" s="24" t="str">
        <f>IFERROR(VLOOKUP(A34,庫存!$A:$I,8,0),"")</f>
        <v>力德</v>
      </c>
      <c r="I34" s="24">
        <f>IFERROR(VLOOKUP(A34,庫存!$A:$I,9,0),"")</f>
        <v>0</v>
      </c>
    </row>
    <row r="35" spans="1:9" ht="23" customHeight="1" x14ac:dyDescent="0.35">
      <c r="A35" s="53" t="s">
        <v>930</v>
      </c>
      <c r="B35" s="34" t="str">
        <f>IFERROR(VLOOKUP(A35,庫存!$A:$I,2,0),"")</f>
        <v>Resister 0603</v>
      </c>
      <c r="C35" s="34" t="str">
        <f>IFERROR(VLOOKUP(A35,庫存!$A:$I,3,0),"")</f>
        <v>RES/WR06X514JTL/510K/0603/75V/5%/1/10W/華新科</v>
      </c>
      <c r="D35" s="52">
        <v>2</v>
      </c>
      <c r="E35" s="35">
        <f t="shared" si="0"/>
        <v>600</v>
      </c>
      <c r="F35" s="45">
        <f>IFERROR(VLOOKUP(A35,庫存!$A:$I,4,0),"0")</f>
        <v>2669</v>
      </c>
      <c r="G35" s="43">
        <f t="shared" si="1"/>
        <v>2069</v>
      </c>
      <c r="H35" s="24" t="str">
        <f>IFERROR(VLOOKUP(A35,庫存!$A:$I,8,0),"")</f>
        <v>力德</v>
      </c>
      <c r="I35" s="24">
        <f>IFERROR(VLOOKUP(A35,庫存!$A:$I,9,0),"")</f>
        <v>0</v>
      </c>
    </row>
    <row r="36" spans="1:9" ht="23" customHeight="1" x14ac:dyDescent="0.35">
      <c r="A36" s="53" t="s">
        <v>140</v>
      </c>
      <c r="B36" s="34" t="str">
        <f>IFERROR(VLOOKUP(A36,庫存!$A:$I,2,0),"")</f>
        <v>Resister 0603</v>
      </c>
      <c r="C36" s="34" t="str">
        <f>IFERROR(VLOOKUP(A36,庫存!$A:$I,3,0),"")</f>
        <v>RES/WR06X1004FTL/1M/0603/75V/1%/1/10W/華新科</v>
      </c>
      <c r="D36" s="52">
        <v>15</v>
      </c>
      <c r="E36" s="35">
        <f t="shared" si="0"/>
        <v>4500</v>
      </c>
      <c r="F36" s="45">
        <f>IFERROR(VLOOKUP(A36,庫存!$A:$I,4,0),"0")</f>
        <v>2195</v>
      </c>
      <c r="G36" s="43">
        <f t="shared" si="1"/>
        <v>-2305</v>
      </c>
      <c r="H36" s="24" t="str">
        <f>IFERROR(VLOOKUP(A36,庫存!$A:$I,8,0),"")</f>
        <v>力德</v>
      </c>
      <c r="I36" s="24">
        <f>IFERROR(VLOOKUP(A36,庫存!$A:$I,9,0),"")</f>
        <v>0</v>
      </c>
    </row>
    <row r="37" spans="1:9" ht="23" customHeight="1" x14ac:dyDescent="0.35">
      <c r="A37" s="53" t="s">
        <v>174</v>
      </c>
      <c r="B37" s="34" t="str">
        <f>IFERROR(VLOOKUP(A37,庫存!$A:$I,2,0),"")</f>
        <v>Resister 0805</v>
      </c>
      <c r="C37" s="34" t="str">
        <f>IFERROR(VLOOKUP(A37,庫存!$A:$I,3,0),"")</f>
        <v>RES/WR08X1004FTL/1M/0805/150V/1%/1/8W/華新科</v>
      </c>
      <c r="D37" s="52">
        <v>1</v>
      </c>
      <c r="E37" s="35">
        <f t="shared" si="0"/>
        <v>300</v>
      </c>
      <c r="F37" s="45">
        <f>IFERROR(VLOOKUP(A37,庫存!$A:$I,4,0),"0")</f>
        <v>0</v>
      </c>
      <c r="G37" s="43">
        <f t="shared" si="1"/>
        <v>-300</v>
      </c>
      <c r="H37" s="24" t="str">
        <f>IFERROR(VLOOKUP(A37,庫存!$A:$I,8,0),"")</f>
        <v>力德</v>
      </c>
      <c r="I37" s="24">
        <f>IFERROR(VLOOKUP(A37,庫存!$A:$I,9,0),"")</f>
        <v>0</v>
      </c>
    </row>
    <row r="38" spans="1:9" ht="23" customHeight="1" x14ac:dyDescent="0.35">
      <c r="A38" s="53" t="s">
        <v>1114</v>
      </c>
      <c r="B38" s="34" t="str">
        <f>IFERROR(VLOOKUP(A38,庫存!$A:$I,2,0),"")</f>
        <v>Resister 0603</v>
      </c>
      <c r="C38" s="34" t="str">
        <f>IFERROR(VLOOKUP(A38,庫存!$A:$I,3,0),"")</f>
        <v>RES/WR06W1504FTL/1.5M/0603/50V/1%/1/10W/華新科</v>
      </c>
      <c r="D38" s="52">
        <v>1</v>
      </c>
      <c r="E38" s="35">
        <f t="shared" si="0"/>
        <v>300</v>
      </c>
      <c r="F38" s="45">
        <f>IFERROR(VLOOKUP(A38,庫存!$A:$I,4,0),"0")</f>
        <v>0</v>
      </c>
      <c r="G38" s="43">
        <f t="shared" si="1"/>
        <v>-300</v>
      </c>
      <c r="H38" s="24" t="str">
        <f>IFERROR(VLOOKUP(A38,庫存!$A:$I,8,0),"")</f>
        <v>力德</v>
      </c>
      <c r="I38" s="24">
        <f>IFERROR(VLOOKUP(A38,庫存!$A:$I,9,0),"")</f>
        <v>0</v>
      </c>
    </row>
    <row r="39" spans="1:9" ht="23" customHeight="1" x14ac:dyDescent="0.35">
      <c r="A39" s="53" t="s">
        <v>931</v>
      </c>
      <c r="B39" s="34" t="str">
        <f>IFERROR(VLOOKUP(A39,庫存!$A:$I,2,0),"")</f>
        <v>Resister 0603</v>
      </c>
      <c r="C39" s="34" t="str">
        <f>IFERROR(VLOOKUP(A39,庫存!$A:$I,3,0),"")</f>
        <v>RES/WR06W1005FTL/10M/0603/75V/1%/1/10W/華新科</v>
      </c>
      <c r="D39" s="52">
        <v>2</v>
      </c>
      <c r="E39" s="35">
        <f t="shared" si="0"/>
        <v>600</v>
      </c>
      <c r="F39" s="45">
        <f>IFERROR(VLOOKUP(A39,庫存!$A:$I,4,0),"0")</f>
        <v>4056</v>
      </c>
      <c r="G39" s="43">
        <f t="shared" si="1"/>
        <v>3456</v>
      </c>
      <c r="H39" s="24" t="str">
        <f>IFERROR(VLOOKUP(A39,庫存!$A:$I,8,0),"")</f>
        <v>力德</v>
      </c>
      <c r="I39" s="24">
        <f>IFERROR(VLOOKUP(A39,庫存!$A:$I,9,0),"")</f>
        <v>0</v>
      </c>
    </row>
    <row r="40" spans="1:9" ht="23" customHeight="1" x14ac:dyDescent="0.35">
      <c r="A40" s="53" t="s">
        <v>932</v>
      </c>
      <c r="B40" s="34" t="str">
        <f>IFERROR(VLOOKUP(A40,庫存!$A:$I,2,0),"")</f>
        <v>R-Sense</v>
      </c>
      <c r="C40" s="34" t="str">
        <f>IFERROR(VLOOKUP(A40,庫存!$A:$I,3,0),"")</f>
        <v>R-Sense/MCSS3920/3920/7W/0.5mOhm/1%/璦司柏</v>
      </c>
      <c r="D40" s="52">
        <v>2</v>
      </c>
      <c r="E40" s="35">
        <f t="shared" si="0"/>
        <v>600</v>
      </c>
      <c r="F40" s="45">
        <f>IFERROR(VLOOKUP(A40,庫存!$A:$I,4,0),"0")</f>
        <v>1771</v>
      </c>
      <c r="G40" s="43">
        <f t="shared" si="1"/>
        <v>1171</v>
      </c>
      <c r="H40" s="24" t="str">
        <f>IFERROR(VLOOKUP(A40,庫存!$A:$I,8,0),"")</f>
        <v>力德</v>
      </c>
      <c r="I40" s="24">
        <f>IFERROR(VLOOKUP(A40,庫存!$A:$I,9,0),"")</f>
        <v>0</v>
      </c>
    </row>
    <row r="41" spans="1:9" ht="23" customHeight="1" x14ac:dyDescent="0.35">
      <c r="A41" s="53" t="s">
        <v>933</v>
      </c>
      <c r="B41" s="34" t="str">
        <f>IFERROR(VLOOKUP(A41,庫存!$A:$I,2,0),"")</f>
        <v>Capacity 0603</v>
      </c>
      <c r="C41" s="34" t="str">
        <f>IFERROR(VLOOKUP(A41,庫存!$A:$I,3,0),"")</f>
        <v>Cap/12PF/0603/50V/5%力德</v>
      </c>
      <c r="D41" s="52">
        <v>2</v>
      </c>
      <c r="E41" s="35">
        <f t="shared" si="0"/>
        <v>600</v>
      </c>
      <c r="F41" s="45">
        <f>IFERROR(VLOOKUP(A41,庫存!$A:$I,4,0),"0")</f>
        <v>6253</v>
      </c>
      <c r="G41" s="43">
        <f t="shared" si="1"/>
        <v>5653</v>
      </c>
      <c r="H41" s="24" t="str">
        <f>IFERROR(VLOOKUP(A41,庫存!$A:$I,8,0),"")</f>
        <v>力德</v>
      </c>
      <c r="I41" s="24">
        <f>IFERROR(VLOOKUP(A41,庫存!$A:$I,9,0),"")</f>
        <v>0</v>
      </c>
    </row>
    <row r="42" spans="1:9" ht="23" customHeight="1" x14ac:dyDescent="0.35">
      <c r="A42" s="53" t="s">
        <v>934</v>
      </c>
      <c r="B42" s="34" t="str">
        <f>IFERROR(VLOOKUP(A42,庫存!$A:$I,2,0),"")</f>
        <v>Capacity 0603</v>
      </c>
      <c r="C42" s="34" t="str">
        <f>IFERROR(VLOOKUP(A42,庫存!$A:$I,3,0),"")</f>
        <v>Cap/30PF/0603/50V/5%/華新科</v>
      </c>
      <c r="D42" s="52">
        <v>3</v>
      </c>
      <c r="E42" s="35">
        <f t="shared" si="0"/>
        <v>900</v>
      </c>
      <c r="F42" s="45">
        <f>IFERROR(VLOOKUP(A42,庫存!$A:$I,4,0),"0")</f>
        <v>0</v>
      </c>
      <c r="G42" s="43">
        <f t="shared" si="1"/>
        <v>-900</v>
      </c>
      <c r="H42" s="24" t="str">
        <f>IFERROR(VLOOKUP(A42,庫存!$A:$I,8,0),"")</f>
        <v>力德</v>
      </c>
      <c r="I42" s="24">
        <f>IFERROR(VLOOKUP(A42,庫存!$A:$I,9,0),"")</f>
        <v>0</v>
      </c>
    </row>
    <row r="43" spans="1:9" ht="23" customHeight="1" x14ac:dyDescent="0.35">
      <c r="A43" s="53" t="s">
        <v>935</v>
      </c>
      <c r="B43" s="34" t="str">
        <f>IFERROR(VLOOKUP(A43,庫存!$A:$I,2,0),"")</f>
        <v>Capacity 0603</v>
      </c>
      <c r="C43" s="34" t="str">
        <f>IFERROR(VLOOKUP(A43,庫存!$A:$I,3,0),"")</f>
        <v>Cap/56pF/0603/50V/5%/力德</v>
      </c>
      <c r="D43" s="52">
        <v>1</v>
      </c>
      <c r="E43" s="35">
        <f t="shared" si="0"/>
        <v>300</v>
      </c>
      <c r="F43" s="45">
        <f>IFERROR(VLOOKUP(A43,庫存!$A:$I,4,0),"0")</f>
        <v>0</v>
      </c>
      <c r="G43" s="43">
        <f t="shared" si="1"/>
        <v>-300</v>
      </c>
      <c r="H43" s="24" t="str">
        <f>IFERROR(VLOOKUP(A43,庫存!$A:$I,8,0),"")</f>
        <v>力德</v>
      </c>
      <c r="I43" s="24">
        <f>IFERROR(VLOOKUP(A43,庫存!$A:$I,9,0),"")</f>
        <v>0</v>
      </c>
    </row>
    <row r="44" spans="1:9" ht="23" customHeight="1" x14ac:dyDescent="0.35">
      <c r="A44" s="53" t="s">
        <v>206</v>
      </c>
      <c r="B44" s="34" t="str">
        <f>IFERROR(VLOOKUP(A44,庫存!$A:$I,2,0),"")</f>
        <v>Capacity 0603</v>
      </c>
      <c r="C44" s="34" t="str">
        <f>IFERROR(VLOOKUP(A44,庫存!$A:$I,3,0),"")</f>
        <v>Cap/100pF/0603/100V/5%/華新科</v>
      </c>
      <c r="D44" s="52">
        <v>1</v>
      </c>
      <c r="E44" s="35">
        <f t="shared" si="0"/>
        <v>300</v>
      </c>
      <c r="F44" s="45">
        <f>IFERROR(VLOOKUP(A44,庫存!$A:$I,4,0),"0")</f>
        <v>1942</v>
      </c>
      <c r="G44" s="43">
        <f t="shared" si="1"/>
        <v>1642</v>
      </c>
      <c r="H44" s="24" t="str">
        <f>IFERROR(VLOOKUP(A44,庫存!$A:$I,8,0),"")</f>
        <v>力德</v>
      </c>
      <c r="I44" s="24">
        <f>IFERROR(VLOOKUP(A44,庫存!$A:$I,9,0),"")</f>
        <v>0</v>
      </c>
    </row>
    <row r="45" spans="1:9" ht="23" customHeight="1" x14ac:dyDescent="0.35">
      <c r="A45" s="53" t="s">
        <v>936</v>
      </c>
      <c r="B45" s="34" t="str">
        <f>IFERROR(VLOOKUP(A45,庫存!$A:$I,2,0),"")</f>
        <v>Capacity 0603</v>
      </c>
      <c r="C45" s="34" t="str">
        <f>IFERROR(VLOOKUP(A45,庫存!$A:$I,3,0),"")</f>
        <v>Cap/470pF/0603/100V/5%/力德</v>
      </c>
      <c r="D45" s="52">
        <v>1</v>
      </c>
      <c r="E45" s="35">
        <f t="shared" si="0"/>
        <v>300</v>
      </c>
      <c r="F45" s="45">
        <f>IFERROR(VLOOKUP(A45,庫存!$A:$I,4,0),"0")</f>
        <v>3732</v>
      </c>
      <c r="G45" s="43">
        <f t="shared" si="1"/>
        <v>3432</v>
      </c>
      <c r="H45" s="24" t="str">
        <f>IFERROR(VLOOKUP(A45,庫存!$A:$I,8,0),"")</f>
        <v>力德</v>
      </c>
      <c r="I45" s="24">
        <f>IFERROR(VLOOKUP(A45,庫存!$A:$I,9,0),"")</f>
        <v>0</v>
      </c>
    </row>
    <row r="46" spans="1:9" ht="23" customHeight="1" x14ac:dyDescent="0.35">
      <c r="A46" s="53" t="s">
        <v>937</v>
      </c>
      <c r="B46" s="34" t="str">
        <f>IFERROR(VLOOKUP(A46,庫存!$A:$I,2,0),"")</f>
        <v>Capacity 0603</v>
      </c>
      <c r="C46" s="34" t="str">
        <f>IFERROR(VLOOKUP(A46,庫存!$A:$I,3,0),"")</f>
        <v>Cap/2200pF/0603/50V/10%/力德</v>
      </c>
      <c r="D46" s="52">
        <v>1</v>
      </c>
      <c r="E46" s="35">
        <f t="shared" si="0"/>
        <v>300</v>
      </c>
      <c r="F46" s="45">
        <f>IFERROR(VLOOKUP(A46,庫存!$A:$I,4,0),"0")</f>
        <v>3418</v>
      </c>
      <c r="G46" s="43">
        <f t="shared" si="1"/>
        <v>3118</v>
      </c>
      <c r="H46" s="24" t="str">
        <f>IFERROR(VLOOKUP(A46,庫存!$A:$I,8,0),"")</f>
        <v>力德</v>
      </c>
      <c r="I46" s="24">
        <f>IFERROR(VLOOKUP(A46,庫存!$A:$I,9,0),"")</f>
        <v>0</v>
      </c>
    </row>
    <row r="47" spans="1:9" ht="23" customHeight="1" x14ac:dyDescent="0.35">
      <c r="A47" s="53" t="s">
        <v>938</v>
      </c>
      <c r="B47" s="34" t="str">
        <f>IFERROR(VLOOKUP(A47,庫存!$A:$I,2,0),"")</f>
        <v>Capacity 0603</v>
      </c>
      <c r="C47" s="34" t="str">
        <f>IFERROR(VLOOKUP(A47,庫存!$A:$I,3,0),"")</f>
        <v>Cap/3300pF/0603/50V/10%力德</v>
      </c>
      <c r="D47" s="52">
        <v>2</v>
      </c>
      <c r="E47" s="35">
        <f t="shared" si="0"/>
        <v>600</v>
      </c>
      <c r="F47" s="45">
        <f>IFERROR(VLOOKUP(A47,庫存!$A:$I,4,0),"0")</f>
        <v>10510</v>
      </c>
      <c r="G47" s="43">
        <f t="shared" si="1"/>
        <v>9910</v>
      </c>
      <c r="H47" s="24" t="str">
        <f>IFERROR(VLOOKUP(A47,庫存!$A:$I,8,0),"")</f>
        <v>力德</v>
      </c>
      <c r="I47" s="24">
        <f>IFERROR(VLOOKUP(A47,庫存!$A:$I,9,0),"")</f>
        <v>0</v>
      </c>
    </row>
    <row r="48" spans="1:9" ht="23" customHeight="1" x14ac:dyDescent="0.35">
      <c r="A48" s="53" t="s">
        <v>939</v>
      </c>
      <c r="B48" s="34" t="str">
        <f>IFERROR(VLOOKUP(A48,庫存!$A:$I,2,0),"")</f>
        <v>Capacity 0603</v>
      </c>
      <c r="C48" s="34" t="str">
        <f>IFERROR(VLOOKUP(A48,庫存!$A:$I,3,0),"")</f>
        <v>Cap/4700pF/0603/50V/10%/力德</v>
      </c>
      <c r="D48" s="52">
        <v>3</v>
      </c>
      <c r="E48" s="35">
        <f t="shared" si="0"/>
        <v>900</v>
      </c>
      <c r="F48" s="45">
        <f>IFERROR(VLOOKUP(A48,庫存!$A:$I,4,0),"0")</f>
        <v>1298</v>
      </c>
      <c r="G48" s="43">
        <f t="shared" si="1"/>
        <v>398</v>
      </c>
      <c r="H48" s="24" t="str">
        <f>IFERROR(VLOOKUP(A48,庫存!$A:$I,8,0),"")</f>
        <v>力德</v>
      </c>
      <c r="I48" s="24">
        <f>IFERROR(VLOOKUP(A48,庫存!$A:$I,9,0),"")</f>
        <v>0</v>
      </c>
    </row>
    <row r="49" spans="1:9" ht="23" customHeight="1" x14ac:dyDescent="0.35">
      <c r="A49" s="53" t="s">
        <v>205</v>
      </c>
      <c r="B49" s="34" t="str">
        <f>IFERROR(VLOOKUP(A49,庫存!$A:$I,2,0),"")</f>
        <v>Capacity 0603</v>
      </c>
      <c r="C49" s="34" t="str">
        <f>IFERROR(VLOOKUP(A49,庫存!$A:$I,3,0),"")</f>
        <v>Cap/0.1uF/0603/50V/10%/華新科</v>
      </c>
      <c r="D49" s="52">
        <v>53</v>
      </c>
      <c r="E49" s="35">
        <f t="shared" si="0"/>
        <v>15900</v>
      </c>
      <c r="F49" s="45">
        <f>IFERROR(VLOOKUP(A49,庫存!$A:$I,4,0),"0")</f>
        <v>7815</v>
      </c>
      <c r="G49" s="43">
        <f t="shared" si="1"/>
        <v>-8085</v>
      </c>
      <c r="H49" s="24" t="str">
        <f>IFERROR(VLOOKUP(A49,庫存!$A:$I,8,0),"")</f>
        <v>力德</v>
      </c>
      <c r="I49" s="24">
        <f>IFERROR(VLOOKUP(A49,庫存!$A:$I,9,0),"")</f>
        <v>0</v>
      </c>
    </row>
    <row r="50" spans="1:9" ht="23" customHeight="1" x14ac:dyDescent="0.35">
      <c r="A50" s="53" t="s">
        <v>940</v>
      </c>
      <c r="B50" s="34" t="str">
        <f>IFERROR(VLOOKUP(A50,庫存!$A:$I,2,0),"")</f>
        <v>Capacity 0603</v>
      </c>
      <c r="C50" s="34" t="str">
        <f>IFERROR(VLOOKUP(A50,庫存!$A:$I,3,0),"")</f>
        <v>Cap/220nF/0603/50V/10%/力德</v>
      </c>
      <c r="D50" s="52">
        <v>20</v>
      </c>
      <c r="E50" s="35">
        <f t="shared" si="0"/>
        <v>6000</v>
      </c>
      <c r="F50" s="45">
        <f>IFERROR(VLOOKUP(A50,庫存!$A:$I,4,0),"0")</f>
        <v>7131</v>
      </c>
      <c r="G50" s="43">
        <f t="shared" si="1"/>
        <v>1131</v>
      </c>
      <c r="H50" s="24" t="str">
        <f>IFERROR(VLOOKUP(A50,庫存!$A:$I,8,0),"")</f>
        <v>力德</v>
      </c>
      <c r="I50" s="24">
        <f>IFERROR(VLOOKUP(A50,庫存!$A:$I,9,0),"")</f>
        <v>0</v>
      </c>
    </row>
    <row r="51" spans="1:9" ht="23" customHeight="1" x14ac:dyDescent="0.35">
      <c r="A51" s="53" t="s">
        <v>211</v>
      </c>
      <c r="B51" s="34" t="str">
        <f>IFERROR(VLOOKUP(A51,庫存!$A:$I,2,0),"")</f>
        <v>Capacity 0603</v>
      </c>
      <c r="C51" s="34" t="str">
        <f>IFERROR(VLOOKUP(A51,庫存!$A:$I,3,0),"")</f>
        <v>Cap/1uF/0603/25V/10%/華新科</v>
      </c>
      <c r="D51" s="52">
        <v>9</v>
      </c>
      <c r="E51" s="35">
        <f t="shared" si="0"/>
        <v>2700</v>
      </c>
      <c r="F51" s="45">
        <f>IFERROR(VLOOKUP(A51,庫存!$A:$I,4,0),"0")</f>
        <v>22043</v>
      </c>
      <c r="G51" s="43">
        <f t="shared" si="1"/>
        <v>19343</v>
      </c>
      <c r="H51" s="24" t="str">
        <f>IFERROR(VLOOKUP(A51,庫存!$A:$I,8,0),"")</f>
        <v>力德</v>
      </c>
      <c r="I51" s="24">
        <f>IFERROR(VLOOKUP(A51,庫存!$A:$I,9,0),"")</f>
        <v>0</v>
      </c>
    </row>
    <row r="52" spans="1:9" ht="23" customHeight="1" x14ac:dyDescent="0.35">
      <c r="A52" s="53" t="s">
        <v>941</v>
      </c>
      <c r="B52" s="34" t="str">
        <f>IFERROR(VLOOKUP(A52,庫存!$A:$I,2,0),"")</f>
        <v>Capacity 0603</v>
      </c>
      <c r="C52" s="34" t="str">
        <f>IFERROR(VLOOKUP(A52,庫存!$A:$I,3,0),"")</f>
        <v>Cap/2.2uF/0603/50V/10%/華新科</v>
      </c>
      <c r="D52" s="52">
        <v>7</v>
      </c>
      <c r="E52" s="35">
        <f t="shared" si="0"/>
        <v>2100</v>
      </c>
      <c r="F52" s="45">
        <f>IFERROR(VLOOKUP(A52,庫存!$A:$I,4,0),"0")</f>
        <v>3669</v>
      </c>
      <c r="G52" s="43">
        <f t="shared" si="1"/>
        <v>1569</v>
      </c>
      <c r="H52" s="24" t="str">
        <f>IFERROR(VLOOKUP(A52,庫存!$A:$I,8,0),"")</f>
        <v>力德</v>
      </c>
      <c r="I52" s="24">
        <f>IFERROR(VLOOKUP(A52,庫存!$A:$I,9,0),"")</f>
        <v>0</v>
      </c>
    </row>
    <row r="53" spans="1:9" ht="23" customHeight="1" x14ac:dyDescent="0.35">
      <c r="A53" s="53" t="s">
        <v>942</v>
      </c>
      <c r="B53" s="34" t="str">
        <f>IFERROR(VLOOKUP(A53,庫存!$A:$I,2,0),"")</f>
        <v>Capacity 1206 ~1812</v>
      </c>
      <c r="C53" s="34" t="str">
        <f>IFERROR(VLOOKUP(A53,庫存!$A:$I,3,0),"")</f>
        <v>Cap/2.2uF/1206/100V/X7R/10%/力德</v>
      </c>
      <c r="D53" s="52">
        <v>1</v>
      </c>
      <c r="E53" s="35">
        <f t="shared" si="0"/>
        <v>300</v>
      </c>
      <c r="F53" s="45">
        <f>IFERROR(VLOOKUP(A53,庫存!$A:$I,4,0),"0")</f>
        <v>1572</v>
      </c>
      <c r="G53" s="43">
        <f t="shared" si="1"/>
        <v>1272</v>
      </c>
      <c r="H53" s="24" t="str">
        <f>IFERROR(VLOOKUP(A53,庫存!$A:$I,8,0),"")</f>
        <v>力德</v>
      </c>
      <c r="I53" s="24">
        <f>IFERROR(VLOOKUP(A53,庫存!$A:$I,9,0),"")</f>
        <v>0</v>
      </c>
    </row>
    <row r="54" spans="1:9" ht="23" customHeight="1" x14ac:dyDescent="0.35">
      <c r="A54" s="53" t="s">
        <v>943</v>
      </c>
      <c r="B54" s="34" t="str">
        <f>IFERROR(VLOOKUP(A54,庫存!$A:$I,2,0),"")</f>
        <v>Capacity 0805</v>
      </c>
      <c r="C54" s="34" t="str">
        <f>IFERROR(VLOOKUP(A54,庫存!$A:$I,3,0),"")</f>
        <v>Cap/4.7uf/0805/25V/10%/力德</v>
      </c>
      <c r="D54" s="52">
        <v>2</v>
      </c>
      <c r="E54" s="35">
        <f t="shared" si="0"/>
        <v>600</v>
      </c>
      <c r="F54" s="45">
        <f>IFERROR(VLOOKUP(A54,庫存!$A:$I,4,0),"0")</f>
        <v>1202</v>
      </c>
      <c r="G54" s="43">
        <f t="shared" si="1"/>
        <v>602</v>
      </c>
      <c r="H54" s="24" t="str">
        <f>IFERROR(VLOOKUP(A54,庫存!$A:$I,8,0),"")</f>
        <v>力德</v>
      </c>
      <c r="I54" s="24">
        <f>IFERROR(VLOOKUP(A54,庫存!$A:$I,9,0),"")</f>
        <v>0</v>
      </c>
    </row>
    <row r="55" spans="1:9" ht="23" customHeight="1" x14ac:dyDescent="0.35">
      <c r="A55" s="53" t="s">
        <v>944</v>
      </c>
      <c r="B55" s="34" t="str">
        <f>IFERROR(VLOOKUP(A55,庫存!$A:$I,2,0),"")</f>
        <v>Capacity 0603</v>
      </c>
      <c r="C55" s="34" t="str">
        <f>IFERROR(VLOOKUP(A55,庫存!$A:$I,3,0),"")</f>
        <v>Cap/10uF/0603/25V/20%/華新科</v>
      </c>
      <c r="D55" s="52">
        <v>8</v>
      </c>
      <c r="E55" s="35">
        <f t="shared" si="0"/>
        <v>2400</v>
      </c>
      <c r="F55" s="45">
        <f>IFERROR(VLOOKUP(A55,庫存!$A:$I,4,0),"0")</f>
        <v>4699</v>
      </c>
      <c r="G55" s="43">
        <f t="shared" si="1"/>
        <v>2299</v>
      </c>
      <c r="H55" s="24" t="str">
        <f>IFERROR(VLOOKUP(A55,庫存!$A:$I,8,0),"")</f>
        <v>力德</v>
      </c>
      <c r="I55" s="24">
        <f>IFERROR(VLOOKUP(A55,庫存!$A:$I,9,0),"")</f>
        <v>0</v>
      </c>
    </row>
    <row r="56" spans="1:9" ht="23" customHeight="1" x14ac:dyDescent="0.35">
      <c r="A56" s="53" t="s">
        <v>945</v>
      </c>
      <c r="B56" s="34" t="str">
        <f>IFERROR(VLOOKUP(A56,庫存!$A:$I,2,0),"")</f>
        <v>Capacity 1206 ~1812</v>
      </c>
      <c r="C56" s="34" t="str">
        <f>IFERROR(VLOOKUP(A56,庫存!$A:$I,3,0),"")</f>
        <v>Cap/10uF/1206/50V/10%/力德</v>
      </c>
      <c r="D56" s="52">
        <v>7</v>
      </c>
      <c r="E56" s="35">
        <f t="shared" si="0"/>
        <v>2100</v>
      </c>
      <c r="F56" s="45">
        <f>IFERROR(VLOOKUP(A56,庫存!$A:$I,4,0),"0")</f>
        <v>1359</v>
      </c>
      <c r="G56" s="43">
        <f t="shared" si="1"/>
        <v>-741</v>
      </c>
      <c r="H56" s="24" t="str">
        <f>IFERROR(VLOOKUP(A56,庫存!$A:$I,8,0),"")</f>
        <v>力德</v>
      </c>
      <c r="I56" s="24">
        <f>IFERROR(VLOOKUP(A56,庫存!$A:$I,9,0),"")</f>
        <v>0</v>
      </c>
    </row>
    <row r="57" spans="1:9" ht="23" customHeight="1" x14ac:dyDescent="0.35">
      <c r="A57" s="53" t="s">
        <v>946</v>
      </c>
      <c r="B57" s="34" t="str">
        <f>IFERROR(VLOOKUP(A57,庫存!$A:$I,2,0),"")</f>
        <v>TVS</v>
      </c>
      <c r="C57" s="34" t="str">
        <f>IFERROR(VLOOKUP(A57,庫存!$A:$I,3,0),"")</f>
        <v>TVS/PMV0603-5R5E5R0/0603/5.5V/1mA/PTTC天巧</v>
      </c>
      <c r="D57" s="52">
        <v>2</v>
      </c>
      <c r="E57" s="35">
        <f t="shared" si="0"/>
        <v>600</v>
      </c>
      <c r="F57" s="45">
        <f>IFERROR(VLOOKUP(A57,庫存!$A:$I,4,0),"0")</f>
        <v>1927</v>
      </c>
      <c r="G57" s="43">
        <f t="shared" si="1"/>
        <v>1327</v>
      </c>
      <c r="H57" s="24">
        <f>IFERROR(VLOOKUP(A57,庫存!$A:$I,8,0),"")</f>
        <v>0</v>
      </c>
      <c r="I57" s="24">
        <f>IFERROR(VLOOKUP(A57,庫存!$A:$I,9,0),"")</f>
        <v>0</v>
      </c>
    </row>
    <row r="58" spans="1:9" ht="23" customHeight="1" x14ac:dyDescent="0.35">
      <c r="A58" s="53" t="s">
        <v>947</v>
      </c>
      <c r="B58" s="34" t="str">
        <f>IFERROR(VLOOKUP(A58,庫存!$A:$I,2,0),"")</f>
        <v>TVS</v>
      </c>
      <c r="C58" s="34" t="str">
        <f>IFERROR(VLOOKUP(A58,庫存!$A:$I,3,0),"")</f>
        <v>TVS/SMCJ60A/DO-214AB-2/60 V/15.5 A/SECOS</v>
      </c>
      <c r="D58" s="52">
        <v>2</v>
      </c>
      <c r="E58" s="35">
        <f t="shared" si="0"/>
        <v>600</v>
      </c>
      <c r="F58" s="45">
        <f>IFERROR(VLOOKUP(A58,庫存!$A:$I,4,0),"0")</f>
        <v>2531</v>
      </c>
      <c r="G58" s="43">
        <f t="shared" si="1"/>
        <v>1931</v>
      </c>
      <c r="H58" s="24" t="str">
        <f>IFERROR(VLOOKUP(A58,庫存!$A:$I,8,0),"")</f>
        <v>SECOS</v>
      </c>
      <c r="I58" s="24">
        <f>IFERROR(VLOOKUP(A58,庫存!$A:$I,9,0),"")</f>
        <v>0</v>
      </c>
    </row>
    <row r="59" spans="1:9" ht="23" customHeight="1" x14ac:dyDescent="0.35">
      <c r="A59" s="53" t="s">
        <v>259</v>
      </c>
      <c r="B59" s="34" t="str">
        <f>IFERROR(VLOOKUP(A59,庫存!$A:$I,2,0),"")</f>
        <v>Diode</v>
      </c>
      <c r="C59" s="34" t="str">
        <f>IFERROR(VLOOKUP(A59,庫存!$A:$I,3,0),"")</f>
        <v>Diode/SCS4148LWS-C/SOD-323L/100V/150mA/SECOS</v>
      </c>
      <c r="D59" s="52">
        <v>23</v>
      </c>
      <c r="E59" s="35">
        <f t="shared" si="0"/>
        <v>6900</v>
      </c>
      <c r="F59" s="45">
        <f>IFERROR(VLOOKUP(A59,庫存!$A:$I,4,0),"0")</f>
        <v>0</v>
      </c>
      <c r="G59" s="43">
        <f t="shared" si="1"/>
        <v>-6900</v>
      </c>
      <c r="H59" s="24" t="str">
        <f>IFERROR(VLOOKUP(A59,庫存!$A:$I,8,0),"")</f>
        <v>SECOS</v>
      </c>
      <c r="I59" s="24">
        <f>IFERROR(VLOOKUP(A59,庫存!$A:$I,9,0),"")</f>
        <v>0</v>
      </c>
    </row>
    <row r="60" spans="1:9" ht="23" customHeight="1" x14ac:dyDescent="0.35">
      <c r="A60" s="53" t="s">
        <v>948</v>
      </c>
      <c r="B60" s="34" t="str">
        <f>IFERROR(VLOOKUP(A60,庫存!$A:$I,2,0),"")</f>
        <v>Schottky Diode</v>
      </c>
      <c r="C60" s="34" t="str">
        <f>IFERROR(VLOOKUP(A60,庫存!$A:$I,3,0),"")</f>
        <v>Schottky/SR510-H/SMB/DO-214AA/100V/5A/YEA SHIN</v>
      </c>
      <c r="D60" s="52">
        <v>6</v>
      </c>
      <c r="E60" s="35">
        <f t="shared" si="0"/>
        <v>1800</v>
      </c>
      <c r="F60" s="45">
        <f>IFERROR(VLOOKUP(A60,庫存!$A:$I,4,0),"0")</f>
        <v>842</v>
      </c>
      <c r="G60" s="43">
        <f t="shared" si="1"/>
        <v>-958</v>
      </c>
      <c r="H60" s="24">
        <f>IFERROR(VLOOKUP(A60,庫存!$A:$I,8,0),"")</f>
        <v>0</v>
      </c>
      <c r="I60" s="24">
        <f>IFERROR(VLOOKUP(A60,庫存!$A:$I,9,0),"")</f>
        <v>0</v>
      </c>
    </row>
    <row r="61" spans="1:9" ht="23" customHeight="1" x14ac:dyDescent="0.35">
      <c r="A61" s="53" t="s">
        <v>949</v>
      </c>
      <c r="B61" s="34" t="str">
        <f>IFERROR(VLOOKUP(A61,庫存!$A:$I,2,0),"")</f>
        <v>Schottky Diode</v>
      </c>
      <c r="C61" s="34" t="str">
        <f>IFERROR(VLOOKUP(A61,庫存!$A:$I,3,0),"")</f>
        <v>Schottky/BAT54C-C/SOD-23/30V/200mA/SECOS</v>
      </c>
      <c r="D61" s="52">
        <v>1</v>
      </c>
      <c r="E61" s="35">
        <f t="shared" si="0"/>
        <v>300</v>
      </c>
      <c r="F61" s="45">
        <f>IFERROR(VLOOKUP(A61,庫存!$A:$I,4,0),"0")</f>
        <v>0</v>
      </c>
      <c r="G61" s="43">
        <f t="shared" si="1"/>
        <v>-300</v>
      </c>
      <c r="H61" s="24" t="str">
        <f>IFERROR(VLOOKUP(A61,庫存!$A:$I,8,0),"")</f>
        <v>SECOS</v>
      </c>
      <c r="I61" s="24">
        <f>IFERROR(VLOOKUP(A61,庫存!$A:$I,9,0),"")</f>
        <v>0</v>
      </c>
    </row>
    <row r="62" spans="1:9" ht="23" customHeight="1" x14ac:dyDescent="0.35">
      <c r="A62" s="53" t="s">
        <v>950</v>
      </c>
      <c r="B62" s="34" t="str">
        <f>IFERROR(VLOOKUP(A62,庫存!$A:$I,2,0),"")</f>
        <v>Zener Diode</v>
      </c>
      <c r="C62" s="34" t="str">
        <f>IFERROR(VLOOKUP(A62,庫存!$A:$I,3,0),"")</f>
        <v>Zener/MM3Z5V6CW-C/SOT-323L(CA)/5.6V/5mA/SECOS</v>
      </c>
      <c r="D62" s="52">
        <v>22</v>
      </c>
      <c r="E62" s="35">
        <f t="shared" si="0"/>
        <v>6600</v>
      </c>
      <c r="F62" s="45">
        <f>IFERROR(VLOOKUP(A62,庫存!$A:$I,4,0),"0")</f>
        <v>4174</v>
      </c>
      <c r="G62" s="43">
        <f t="shared" si="1"/>
        <v>-2426</v>
      </c>
      <c r="H62" s="24" t="str">
        <f>IFERROR(VLOOKUP(A62,庫存!$A:$I,8,0),"")</f>
        <v>SECOS</v>
      </c>
      <c r="I62" s="24">
        <f>IFERROR(VLOOKUP(A62,庫存!$A:$I,9,0),"")</f>
        <v>0</v>
      </c>
    </row>
    <row r="63" spans="1:9" ht="23" customHeight="1" x14ac:dyDescent="0.35">
      <c r="A63" s="53" t="s">
        <v>951</v>
      </c>
      <c r="B63" s="34" t="str">
        <f>IFERROR(VLOOKUP(A63,庫存!$A:$I,2,0),"")</f>
        <v>Zener Diode</v>
      </c>
      <c r="C63" s="34" t="str">
        <f>IFERROR(VLOOKUP(A63,庫存!$A:$I,3,0),"")</f>
        <v>Zener/BZD84C5V6/SOT-23(123)/5.6V/5mA/SECOS</v>
      </c>
      <c r="D63" s="52">
        <v>4</v>
      </c>
      <c r="E63" s="35">
        <f t="shared" si="0"/>
        <v>1200</v>
      </c>
      <c r="F63" s="45">
        <f>IFERROR(VLOOKUP(A63,庫存!$A:$I,4,0),"0")</f>
        <v>850</v>
      </c>
      <c r="G63" s="43">
        <f t="shared" si="1"/>
        <v>-350</v>
      </c>
      <c r="H63" s="24" t="str">
        <f>IFERROR(VLOOKUP(A63,庫存!$A:$I,8,0),"")</f>
        <v>SECOS</v>
      </c>
      <c r="I63" s="24">
        <f>IFERROR(VLOOKUP(A63,庫存!$A:$I,9,0),"")</f>
        <v>0</v>
      </c>
    </row>
    <row r="64" spans="1:9" ht="23" customHeight="1" x14ac:dyDescent="0.35">
      <c r="A64" s="53" t="s">
        <v>952</v>
      </c>
      <c r="B64" s="34" t="str">
        <f>IFERROR(VLOOKUP(A64,庫存!$A:$I,2,0),"")</f>
        <v>Zener Diode</v>
      </c>
      <c r="C64" s="34" t="str">
        <f>IFERROR(VLOOKUP(A64,庫存!$A:$I,3,0),"")</f>
        <v>Zener/MM3Z3V6CW-C/SOT-323L(CA)/3.6V/5mA/SECOS</v>
      </c>
      <c r="D64" s="52">
        <v>5</v>
      </c>
      <c r="E64" s="35">
        <f t="shared" si="0"/>
        <v>1500</v>
      </c>
      <c r="F64" s="45">
        <f>IFERROR(VLOOKUP(A64,庫存!$A:$I,4,0),"0")</f>
        <v>7051</v>
      </c>
      <c r="G64" s="43">
        <f t="shared" si="1"/>
        <v>5551</v>
      </c>
      <c r="H64" s="24" t="str">
        <f>IFERROR(VLOOKUP(A64,庫存!$A:$I,8,0),"")</f>
        <v>SECOS</v>
      </c>
      <c r="I64" s="24">
        <f>IFERROR(VLOOKUP(A64,庫存!$A:$I,9,0),"")</f>
        <v>0</v>
      </c>
    </row>
    <row r="65" spans="1:9" ht="23" customHeight="1" x14ac:dyDescent="0.35">
      <c r="A65" s="53" t="s">
        <v>953</v>
      </c>
      <c r="B65" s="34" t="str">
        <f>IFERROR(VLOOKUP(A65,庫存!$A:$I,2,0),"")</f>
        <v>Zener Diode</v>
      </c>
      <c r="C65" s="34" t="str">
        <f>IFERROR(VLOOKUP(A65,庫存!$A:$I,3,0),"")</f>
        <v>Zener/MM3Z18VCW-C/SOT-323L(CA)/18V/5mA/SECOS</v>
      </c>
      <c r="D65" s="52">
        <v>17</v>
      </c>
      <c r="E65" s="35">
        <f t="shared" si="0"/>
        <v>5100</v>
      </c>
      <c r="F65" s="45">
        <f>IFERROR(VLOOKUP(A65,庫存!$A:$I,4,0),"0")</f>
        <v>4744</v>
      </c>
      <c r="G65" s="43">
        <f t="shared" si="1"/>
        <v>-356</v>
      </c>
      <c r="H65" s="24" t="str">
        <f>IFERROR(VLOOKUP(A65,庫存!$A:$I,8,0),"")</f>
        <v>SECOS</v>
      </c>
      <c r="I65" s="24">
        <f>IFERROR(VLOOKUP(A65,庫存!$A:$I,9,0),"")</f>
        <v>0</v>
      </c>
    </row>
    <row r="66" spans="1:9" ht="23" customHeight="1" x14ac:dyDescent="0.35">
      <c r="A66" s="53" t="s">
        <v>301</v>
      </c>
      <c r="B66" s="34" t="str">
        <f>IFERROR(VLOOKUP(A66,庫存!$A:$I,2,0),"")</f>
        <v>Zener Diode</v>
      </c>
      <c r="C66" s="34" t="str">
        <f>IFERROR(VLOOKUP(A66,庫存!$A:$I,3,0),"")</f>
        <v>Zener/MM3Z22VCW-C/SOD-323L/22V/5mA/SECOS</v>
      </c>
      <c r="D66" s="52">
        <v>3</v>
      </c>
      <c r="E66" s="35">
        <f t="shared" si="0"/>
        <v>900</v>
      </c>
      <c r="F66" s="45">
        <f>IFERROR(VLOOKUP(A66,庫存!$A:$I,4,0),"0")</f>
        <v>5352</v>
      </c>
      <c r="G66" s="43">
        <f t="shared" si="1"/>
        <v>4452</v>
      </c>
      <c r="H66" s="24" t="str">
        <f>IFERROR(VLOOKUP(A66,庫存!$A:$I,8,0),"")</f>
        <v>SECOS</v>
      </c>
      <c r="I66" s="24">
        <f>IFERROR(VLOOKUP(A66,庫存!$A:$I,9,0),"")</f>
        <v>0</v>
      </c>
    </row>
    <row r="67" spans="1:9" ht="23" customHeight="1" x14ac:dyDescent="0.35">
      <c r="A67" s="53" t="s">
        <v>954</v>
      </c>
      <c r="B67" s="34" t="str">
        <f>IFERROR(VLOOKUP(A67,庫存!$A:$I,2,0),"")</f>
        <v>Zener Diode</v>
      </c>
      <c r="C67" s="34" t="str">
        <f>IFERROR(VLOOKUP(A67,庫存!$A:$I,3,0),"")</f>
        <v>Zener/MM3Z12VCW-C/SOD-323L/12.6V/5mA/SECOS</v>
      </c>
      <c r="D67" s="52">
        <v>1</v>
      </c>
      <c r="E67" s="35">
        <f t="shared" ref="E67:E129" si="2">IF(D67*$E$1=0,"",D67*$E$1)</f>
        <v>300</v>
      </c>
      <c r="F67" s="45">
        <f>IFERROR(VLOOKUP(A67,庫存!$A:$I,4,0),"0")</f>
        <v>2715</v>
      </c>
      <c r="G67" s="43">
        <f t="shared" ref="G67:G129" si="3">IFERROR(F67-E67,"")</f>
        <v>2415</v>
      </c>
      <c r="H67" s="24" t="str">
        <f>IFERROR(VLOOKUP(A67,庫存!$A:$I,8,0),"")</f>
        <v>SECOS</v>
      </c>
      <c r="I67" s="24">
        <f>IFERROR(VLOOKUP(A67,庫存!$A:$I,9,0),"")</f>
        <v>0</v>
      </c>
    </row>
    <row r="68" spans="1:9" ht="23" customHeight="1" x14ac:dyDescent="0.35">
      <c r="A68" s="53" t="s">
        <v>955</v>
      </c>
      <c r="B68" s="34" t="str">
        <f>IFERROR(VLOOKUP(A68,庫存!$A:$I,2,0),"")</f>
        <v>特殊電感</v>
      </c>
      <c r="C68" s="34" t="str">
        <f>IFERROR(VLOOKUP(A68,庫存!$A:$I,3,0),"")</f>
        <v>Bead/FB160808D601-LRH/0603/600Z/信昌</v>
      </c>
      <c r="D68" s="52">
        <v>2</v>
      </c>
      <c r="E68" s="35">
        <f t="shared" si="2"/>
        <v>600</v>
      </c>
      <c r="F68" s="45">
        <f>IFERROR(VLOOKUP(A68,庫存!$A:$I,4,0),"0")</f>
        <v>0</v>
      </c>
      <c r="G68" s="43">
        <f t="shared" si="3"/>
        <v>-600</v>
      </c>
      <c r="H68" s="24" t="str">
        <f>IFERROR(VLOOKUP(A68,庫存!$A:$I,8,0),"")</f>
        <v>力德</v>
      </c>
      <c r="I68" s="24">
        <f>IFERROR(VLOOKUP(A68,庫存!$A:$I,9,0),"")</f>
        <v>0</v>
      </c>
    </row>
    <row r="69" spans="1:9" ht="23" customHeight="1" x14ac:dyDescent="0.35">
      <c r="A69" s="53" t="s">
        <v>956</v>
      </c>
      <c r="B69" s="34" t="str">
        <f>IFERROR(VLOOKUP(A69,庫存!$A:$I,2,0),"")</f>
        <v>特殊電感</v>
      </c>
      <c r="C69" s="34" t="str">
        <f>IFERROR(VLOOKUP(A69,庫存!$A:$I,3,0),"")</f>
        <v>Inductance/PCMB104T-680MS/68 uH/22 A/2.7 mOhms/PSA</v>
      </c>
      <c r="D69" s="52">
        <v>1</v>
      </c>
      <c r="E69" s="35">
        <f t="shared" si="2"/>
        <v>300</v>
      </c>
      <c r="F69" s="45">
        <f>IFERROR(VLOOKUP(A69,庫存!$A:$I,4,0),"0")</f>
        <v>1423</v>
      </c>
      <c r="G69" s="43">
        <f t="shared" si="3"/>
        <v>1123</v>
      </c>
      <c r="H69" s="24">
        <f>IFERROR(VLOOKUP(A69,庫存!$A:$I,8,0),"")</f>
        <v>0</v>
      </c>
      <c r="I69" s="24">
        <f>IFERROR(VLOOKUP(A69,庫存!$A:$I,9,0),"")</f>
        <v>0</v>
      </c>
    </row>
    <row r="70" spans="1:9" ht="23" customHeight="1" x14ac:dyDescent="0.35">
      <c r="A70" s="53" t="s">
        <v>957</v>
      </c>
      <c r="B70" s="34" t="str">
        <f>IFERROR(VLOOKUP(A70,庫存!$A:$I,2,0),"")</f>
        <v>特殊電感</v>
      </c>
      <c r="C70" s="34" t="str">
        <f>IFERROR(VLOOKUP(A70,庫存!$A:$I,3,0),"")</f>
        <v>Power Choke/SDTI054T-150MS/SMD/15uH/2A/79mohm/4.9mm x 4.9mm x 4.0mm乾坤</v>
      </c>
      <c r="D70" s="52">
        <v>1</v>
      </c>
      <c r="E70" s="35">
        <f t="shared" si="2"/>
        <v>300</v>
      </c>
      <c r="F70" s="45">
        <f>IFERROR(VLOOKUP(A70,庫存!$A:$I,4,0),"0")</f>
        <v>856</v>
      </c>
      <c r="G70" s="43">
        <f t="shared" si="3"/>
        <v>556</v>
      </c>
      <c r="H70" s="24">
        <f>IFERROR(VLOOKUP(A70,庫存!$A:$I,8,0),"")</f>
        <v>0</v>
      </c>
      <c r="I70" s="24">
        <f>IFERROR(VLOOKUP(A70,庫存!$A:$I,9,0),"")</f>
        <v>0</v>
      </c>
    </row>
    <row r="71" spans="1:9" ht="23" customHeight="1" x14ac:dyDescent="0.35">
      <c r="A71" s="53" t="s">
        <v>958</v>
      </c>
      <c r="B71" s="34" t="str">
        <f>IFERROR(VLOOKUP(A71,庫存!$A:$I,2,0),"")</f>
        <v>特殊電感</v>
      </c>
      <c r="C71" s="34" t="str">
        <f>IFERROR(VLOOKUP(A71,庫存!$A:$I,3,0),"")</f>
        <v>Common Mode Filters/ACT45B/SMD/50V/0.2A/1ohm/5.0mm x 3.4mm x2.8mm台灣東電化</v>
      </c>
      <c r="D71" s="52">
        <v>1</v>
      </c>
      <c r="E71" s="35">
        <f t="shared" si="2"/>
        <v>300</v>
      </c>
      <c r="F71" s="45">
        <f>IFERROR(VLOOKUP(A71,庫存!$A:$I,4,0),"0")</f>
        <v>1645</v>
      </c>
      <c r="G71" s="43">
        <f t="shared" si="3"/>
        <v>1345</v>
      </c>
      <c r="H71" s="24">
        <f>IFERROR(VLOOKUP(A71,庫存!$A:$I,8,0),"")</f>
        <v>0</v>
      </c>
      <c r="I71" s="24">
        <f>IFERROR(VLOOKUP(A71,庫存!$A:$I,9,0),"")</f>
        <v>0</v>
      </c>
    </row>
    <row r="72" spans="1:9" ht="23" customHeight="1" x14ac:dyDescent="0.35">
      <c r="A72" s="53" t="s">
        <v>959</v>
      </c>
      <c r="B72" s="34" t="str">
        <f>IFERROR(VLOOKUP(A72,庫存!$A:$I,2,0),"")</f>
        <v>MOSFET Signal N</v>
      </c>
      <c r="C72" s="34" t="str">
        <f>IFERROR(VLOOKUP(A72,庫存!$A:$I,3,0),"")</f>
        <v>N-MOS/2N7002/SOT-23-3(GSD)/60V/115mA/7.5ohmVth=2.1V/恩智浦</v>
      </c>
      <c r="D72" s="52">
        <v>5</v>
      </c>
      <c r="E72" s="35">
        <f t="shared" si="2"/>
        <v>1500</v>
      </c>
      <c r="F72" s="45">
        <f>IFERROR(VLOOKUP(A72,庫存!$A:$I,4,0),"0")</f>
        <v>1474</v>
      </c>
      <c r="G72" s="43">
        <f t="shared" si="3"/>
        <v>-26</v>
      </c>
      <c r="H72" s="24">
        <f>IFERROR(VLOOKUP(A72,庫存!$A:$I,8,0),"")</f>
        <v>0</v>
      </c>
      <c r="I72" s="24">
        <f>IFERROR(VLOOKUP(A72,庫存!$A:$I,9,0),"")</f>
        <v>0</v>
      </c>
    </row>
    <row r="73" spans="1:9" ht="23" customHeight="1" x14ac:dyDescent="0.35">
      <c r="A73" s="53" t="s">
        <v>960</v>
      </c>
      <c r="B73" s="34" t="str">
        <f>IFERROR(VLOOKUP(A73,庫存!$A:$I,2,0),"")</f>
        <v>MOSFET Signal N</v>
      </c>
      <c r="C73" s="34" t="str">
        <f>IFERROR(VLOOKUP(A73,庫存!$A:$I,3,0),"")</f>
        <v>N-MOS/PM9310NS/SOT-23-3(GSD)/100V/2A/190mohmVth=1.8V/立捷</v>
      </c>
      <c r="D73" s="52">
        <v>11</v>
      </c>
      <c r="E73" s="35">
        <f t="shared" si="2"/>
        <v>3300</v>
      </c>
      <c r="F73" s="45">
        <f>IFERROR(VLOOKUP(A73,庫存!$A:$I,4,0),"0")</f>
        <v>4510</v>
      </c>
      <c r="G73" s="43">
        <f t="shared" si="3"/>
        <v>1210</v>
      </c>
      <c r="H73" s="24" t="str">
        <f>IFERROR(VLOOKUP(A73,庫存!$A:$I,8,0),"")</f>
        <v>立捷</v>
      </c>
      <c r="I73" s="24">
        <f>IFERROR(VLOOKUP(A73,庫存!$A:$I,9,0),"")</f>
        <v>0</v>
      </c>
    </row>
    <row r="74" spans="1:9" ht="23" customHeight="1" x14ac:dyDescent="0.35">
      <c r="A74" s="53" t="s">
        <v>961</v>
      </c>
      <c r="B74" s="34" t="str">
        <f>IFERROR(VLOOKUP(A74,庫存!$A:$I,2,0),"")</f>
        <v>MOSFET Signal N</v>
      </c>
      <c r="C74" s="34" t="str">
        <f>IFERROR(VLOOKUP(A74,庫存!$A:$I,3,0),"")</f>
        <v>N-MOS/AP2344GN-HF/SOT-23-3(GSD)/20V/6.4A/22mohm/Vth=max1V/晶偉</v>
      </c>
      <c r="D74" s="52">
        <v>15</v>
      </c>
      <c r="E74" s="35">
        <f t="shared" si="2"/>
        <v>4500</v>
      </c>
      <c r="F74" s="45">
        <f>IFERROR(VLOOKUP(A74,庫存!$A:$I,4,0),"0")</f>
        <v>0</v>
      </c>
      <c r="G74" s="43">
        <f t="shared" si="3"/>
        <v>-4500</v>
      </c>
      <c r="H74" s="24" t="str">
        <f>IFERROR(VLOOKUP(A74,庫存!$A:$I,8,0),"")</f>
        <v>晶偉</v>
      </c>
      <c r="I74" s="24">
        <f>IFERROR(VLOOKUP(A74,庫存!$A:$I,9,0),"")</f>
        <v>0</v>
      </c>
    </row>
    <row r="75" spans="1:9" ht="23" customHeight="1" x14ac:dyDescent="0.35">
      <c r="A75" s="53" t="s">
        <v>363</v>
      </c>
      <c r="B75" s="34" t="str">
        <f>IFERROR(VLOOKUP(A75,庫存!$A:$I,2,0),"")</f>
        <v>MOSFET Signal N</v>
      </c>
      <c r="C75" s="34" t="str">
        <f>IFERROR(VLOOKUP(A75,庫存!$A:$I,3,0),"")</f>
        <v>N-MOS/DMT10H009SPS-13/PowerDI5060-8/100V/80 A/8.5 mOhm/Vth=2V/Diodes</v>
      </c>
      <c r="D75" s="52">
        <v>1</v>
      </c>
      <c r="E75" s="35">
        <f t="shared" si="2"/>
        <v>300</v>
      </c>
      <c r="F75" s="45">
        <f>IFERROR(VLOOKUP(A75,庫存!$A:$I,4,0),"0")</f>
        <v>2400</v>
      </c>
      <c r="G75" s="43">
        <f t="shared" si="3"/>
        <v>2100</v>
      </c>
      <c r="H75" s="24">
        <f>IFERROR(VLOOKUP(A75,庫存!$A:$I,8,0),"")</f>
        <v>0</v>
      </c>
      <c r="I75" s="24">
        <f>IFERROR(VLOOKUP(A75,庫存!$A:$I,9,0),"")</f>
        <v>0</v>
      </c>
    </row>
    <row r="76" spans="1:9" ht="23" customHeight="1" x14ac:dyDescent="0.35">
      <c r="A76" s="56" t="s">
        <v>1119</v>
      </c>
      <c r="B76" s="34" t="str">
        <f>IFERROR(VLOOKUP(A76,庫存!$A:$I,2,0),"")</f>
        <v>MOSFET POWER N</v>
      </c>
      <c r="C76" s="34" t="str">
        <f>IFERROR(VLOOKUP(A76,庫存!$A:$I,3,0),"")</f>
        <v>N-MOS/IMN009N10T/TOLL-8L/100V 廣閎</v>
      </c>
      <c r="D76" s="52">
        <v>12</v>
      </c>
      <c r="E76" s="35">
        <f t="shared" si="2"/>
        <v>3600</v>
      </c>
      <c r="F76" s="45">
        <f>IFERROR(VLOOKUP(A76,庫存!$A:$I,4,0),"0")</f>
        <v>2400</v>
      </c>
      <c r="G76" s="43">
        <f t="shared" si="3"/>
        <v>-1200</v>
      </c>
      <c r="H76" s="24" t="str">
        <f>IFERROR(VLOOKUP(A76,庫存!$A:$I,8,0),"")</f>
        <v>廣閎</v>
      </c>
      <c r="I76" s="24">
        <f>IFERROR(VLOOKUP(A76,庫存!$A:$I,9,0),"")</f>
        <v>0</v>
      </c>
    </row>
    <row r="77" spans="1:9" ht="23" customHeight="1" x14ac:dyDescent="0.35">
      <c r="A77" s="56" t="s">
        <v>1122</v>
      </c>
      <c r="B77" s="34" t="str">
        <f>IFERROR(VLOOKUP(A77,庫存!$A:$I,2,0),"")</f>
        <v>MOSFET POWER N</v>
      </c>
      <c r="C77" s="34" t="str">
        <f>IFERROR(VLOOKUP(A77,庫存!$A:$I,3,0),"")</f>
        <v>N-MOS/IMN035N15T/150V/廣閎</v>
      </c>
      <c r="D77" s="53">
        <v>12</v>
      </c>
      <c r="E77" s="35">
        <f t="shared" si="2"/>
        <v>3600</v>
      </c>
      <c r="F77" s="45">
        <f>IFERROR(VLOOKUP(A77,庫存!$A:$I,4,0),"0")</f>
        <v>400</v>
      </c>
      <c r="G77" s="43">
        <f t="shared" si="3"/>
        <v>-3200</v>
      </c>
      <c r="H77" s="24" t="str">
        <f>IFERROR(VLOOKUP(A77,庫存!$A:$I,8,0),"")</f>
        <v>廣閎</v>
      </c>
      <c r="I77" s="24">
        <f>IFERROR(VLOOKUP(A77,庫存!$A:$I,9,0),"")</f>
        <v>0</v>
      </c>
    </row>
    <row r="78" spans="1:9" ht="23" customHeight="1" x14ac:dyDescent="0.35">
      <c r="A78" s="53" t="s">
        <v>962</v>
      </c>
      <c r="B78" s="34" t="str">
        <f>IFERROR(VLOOKUP(A78,庫存!$A:$I,2,0),"")</f>
        <v>MOSFET Signal P</v>
      </c>
      <c r="C78" s="34" t="str">
        <f>IFERROR(VLOOKUP(A78,庫存!$A:$I,3,0),"")</f>
        <v>P-MOS/DMP3068L-7/SOT-23-3(GSD)/30V/3.9A/72mohmVth=1.3V/達爾</v>
      </c>
      <c r="D78" s="52">
        <v>2</v>
      </c>
      <c r="E78" s="35">
        <f t="shared" si="2"/>
        <v>600</v>
      </c>
      <c r="F78" s="45">
        <f>IFERROR(VLOOKUP(A78,庫存!$A:$I,4,0),"0")</f>
        <v>3957</v>
      </c>
      <c r="G78" s="43">
        <f t="shared" si="3"/>
        <v>3357</v>
      </c>
      <c r="H78" s="24">
        <f>IFERROR(VLOOKUP(A78,庫存!$A:$I,8,0),"")</f>
        <v>0</v>
      </c>
      <c r="I78" s="24">
        <f>IFERROR(VLOOKUP(A78,庫存!$A:$I,9,0),"")</f>
        <v>0</v>
      </c>
    </row>
    <row r="79" spans="1:9" ht="23" customHeight="1" x14ac:dyDescent="0.35">
      <c r="A79" s="53" t="s">
        <v>963</v>
      </c>
      <c r="B79" s="34" t="str">
        <f>IFERROR(VLOOKUP(A79,庫存!$A:$I,2,0),"")</f>
        <v>MOSFET Signal P</v>
      </c>
      <c r="C79" s="34" t="str">
        <f>IFERROR(VLOOKUP(A79,庫存!$A:$I,3,0),"")</f>
        <v>P-MOS/PM9353NS/SOT-23-3(GSD)/100V/850mA/644mohmVth=1.8V/立捷</v>
      </c>
      <c r="D79" s="52">
        <v>4</v>
      </c>
      <c r="E79" s="35">
        <f t="shared" si="2"/>
        <v>1200</v>
      </c>
      <c r="F79" s="45">
        <f>IFERROR(VLOOKUP(A79,庫存!$A:$I,4,0),"0")</f>
        <v>563</v>
      </c>
      <c r="G79" s="43">
        <f t="shared" si="3"/>
        <v>-637</v>
      </c>
      <c r="H79" s="24">
        <f>IFERROR(VLOOKUP(A79,庫存!$A:$I,8,0),"")</f>
        <v>0</v>
      </c>
      <c r="I79" s="24">
        <f>IFERROR(VLOOKUP(A79,庫存!$A:$I,9,0),"")</f>
        <v>0</v>
      </c>
    </row>
    <row r="80" spans="1:9" ht="23" customHeight="1" x14ac:dyDescent="0.35">
      <c r="A80" s="53" t="s">
        <v>964</v>
      </c>
      <c r="B80" s="34" t="str">
        <f>IFERROR(VLOOKUP(A80,庫存!$A:$I,2,0),"")</f>
        <v>MOSFET Signal P</v>
      </c>
      <c r="C80" s="34" t="str">
        <f>IFERROR(VLOOKUP(A80,庫存!$A:$I,3,0),"")</f>
        <v>P-MOS/ZVP3310F/SOT-23-3GSD/100V/75mA/20ohmVth=3.5V/達爾</v>
      </c>
      <c r="D80" s="52">
        <v>6</v>
      </c>
      <c r="E80" s="35">
        <f t="shared" si="2"/>
        <v>1800</v>
      </c>
      <c r="F80" s="45">
        <f>IFERROR(VLOOKUP(A80,庫存!$A:$I,4,0),"0")</f>
        <v>33</v>
      </c>
      <c r="G80" s="43">
        <f t="shared" si="3"/>
        <v>-1767</v>
      </c>
      <c r="H80" s="24">
        <f>IFERROR(VLOOKUP(A80,庫存!$A:$I,8,0),"")</f>
        <v>0</v>
      </c>
      <c r="I80" s="24">
        <f>IFERROR(VLOOKUP(A80,庫存!$A:$I,9,0),"")</f>
        <v>0</v>
      </c>
    </row>
    <row r="81" spans="1:9" ht="23" customHeight="1" x14ac:dyDescent="0.35">
      <c r="A81" s="53" t="s">
        <v>965</v>
      </c>
      <c r="B81" s="34" t="str">
        <f>IFERROR(VLOOKUP(A81,庫存!$A:$I,2,0),"")</f>
        <v>FUSE SMD</v>
      </c>
      <c r="C81" s="34" t="str">
        <f>IFERROR(VLOOKUP(A81,庫存!$A:$I,3,0),"")</f>
        <v>FUSE/CLM3820P5045/3820/VOP 43.7 ~ 62.0 Vdc/Irated 45A/Rheater 38.5 ~ 68.0/聚鼎</v>
      </c>
      <c r="D81" s="52">
        <v>6</v>
      </c>
      <c r="E81" s="35">
        <f t="shared" si="2"/>
        <v>1800</v>
      </c>
      <c r="F81" s="45">
        <f>IFERROR(VLOOKUP(A81,庫存!$A:$I,4,0),"0")</f>
        <v>248</v>
      </c>
      <c r="G81" s="43">
        <f t="shared" si="3"/>
        <v>-1552</v>
      </c>
      <c r="H81" s="24">
        <f>IFERROR(VLOOKUP(A81,庫存!$A:$I,8,0),"")</f>
        <v>0</v>
      </c>
      <c r="I81" s="24">
        <f>IFERROR(VLOOKUP(A81,庫存!$A:$I,9,0),"")</f>
        <v>0</v>
      </c>
    </row>
    <row r="82" spans="1:9" ht="23" customHeight="1" x14ac:dyDescent="0.35">
      <c r="A82" s="53" t="s">
        <v>966</v>
      </c>
      <c r="B82" s="34" t="str">
        <f>IFERROR(VLOOKUP(A82,庫存!$A:$I,2,0),"")</f>
        <v>FUSE SMD</v>
      </c>
      <c r="C82" s="34" t="str">
        <f>IFERROR(VLOOKUP(A82,庫存!$A:$I,3,0),"")</f>
        <v>FUSE/0451001.MRL/6.1 mm x 2.69 mm/125 VDC/1A/Res=78 mOhm/Littelfuse</v>
      </c>
      <c r="D82" s="52">
        <v>1</v>
      </c>
      <c r="E82" s="35">
        <f t="shared" si="2"/>
        <v>300</v>
      </c>
      <c r="F82" s="45">
        <f>IFERROR(VLOOKUP(A82,庫存!$A:$I,4,0),"0")</f>
        <v>600</v>
      </c>
      <c r="G82" s="43">
        <f t="shared" si="3"/>
        <v>300</v>
      </c>
      <c r="H82" s="24">
        <f>IFERROR(VLOOKUP(A82,庫存!$A:$I,8,0),"")</f>
        <v>0</v>
      </c>
      <c r="I82" s="24">
        <f>IFERROR(VLOOKUP(A82,庫存!$A:$I,9,0),"")</f>
        <v>0</v>
      </c>
    </row>
    <row r="83" spans="1:9" ht="23" customHeight="1" x14ac:dyDescent="0.35">
      <c r="A83" s="53" t="s">
        <v>1117</v>
      </c>
      <c r="B83" s="34" t="str">
        <f>IFERROR(VLOOKUP(A83,庫存!$A:$I,2,0),"")</f>
        <v>FUSE SMD</v>
      </c>
      <c r="C83" s="34" t="str">
        <f>IFERROR(VLOOKUP(A83,庫存!$A:$I,3,0),"")</f>
        <v>FUSE/SMFF2410P1000/2410/125VDC/10A//聚鼎</v>
      </c>
      <c r="D83" s="52">
        <v>1</v>
      </c>
      <c r="E83" s="35">
        <f t="shared" si="2"/>
        <v>300</v>
      </c>
      <c r="F83" s="45">
        <f>IFERROR(VLOOKUP(A83,庫存!$A:$I,4,0),"0")</f>
        <v>0</v>
      </c>
      <c r="G83" s="43">
        <f t="shared" si="3"/>
        <v>-300</v>
      </c>
      <c r="H83" s="24">
        <f>IFERROR(VLOOKUP(A83,庫存!$A:$I,8,0),"")</f>
        <v>0</v>
      </c>
      <c r="I83" s="24">
        <f>IFERROR(VLOOKUP(A83,庫存!$A:$I,9,0),"")</f>
        <v>0</v>
      </c>
    </row>
    <row r="84" spans="1:9" ht="23" customHeight="1" x14ac:dyDescent="0.35">
      <c r="A84" s="53" t="s">
        <v>967</v>
      </c>
      <c r="B84" s="34" t="str">
        <f>IFERROR(VLOOKUP(A84,庫存!$A:$I,2,0),"")</f>
        <v>FUSE SMD</v>
      </c>
      <c r="C84" s="34" t="str">
        <f>IFERROR(VLOOKUP(A84,庫存!$A:$I,3,0),"")</f>
        <v>FUSE/SMFF2410P200/2410/125VDC/2A//聚鼎</v>
      </c>
      <c r="D84" s="52">
        <v>1</v>
      </c>
      <c r="E84" s="35">
        <f t="shared" si="2"/>
        <v>300</v>
      </c>
      <c r="F84" s="45">
        <f>IFERROR(VLOOKUP(A84,庫存!$A:$I,4,0),"0")</f>
        <v>0</v>
      </c>
      <c r="G84" s="43">
        <f t="shared" si="3"/>
        <v>-300</v>
      </c>
      <c r="H84" s="24">
        <f>IFERROR(VLOOKUP(A84,庫存!$A:$I,8,0),"")</f>
        <v>0</v>
      </c>
      <c r="I84" s="24">
        <f>IFERROR(VLOOKUP(A84,庫存!$A:$I,9,0),"")</f>
        <v>0</v>
      </c>
    </row>
    <row r="85" spans="1:9" ht="23" customHeight="1" x14ac:dyDescent="0.35">
      <c r="A85" s="53" t="s">
        <v>968</v>
      </c>
      <c r="B85" s="34" t="str">
        <f>IFERROR(VLOOKUP(A85,庫存!$A:$I,2,0),"")</f>
        <v>Crystal Oscillators 晶體振盪器</v>
      </c>
      <c r="C85" s="34" t="str">
        <f>IFERROR(VLOOKUP(A85,庫存!$A:$I,3,0),"")</f>
        <v>Crystal/CXA-008000-5D7D40/SMD/CL=12PF/8MHz/5x3.2mm/安碁</v>
      </c>
      <c r="D85" s="52">
        <v>1</v>
      </c>
      <c r="E85" s="35">
        <f t="shared" si="2"/>
        <v>300</v>
      </c>
      <c r="F85" s="45">
        <f>IFERROR(VLOOKUP(A85,庫存!$A:$I,4,0),"0")</f>
        <v>3729</v>
      </c>
      <c r="G85" s="43">
        <f t="shared" si="3"/>
        <v>3429</v>
      </c>
      <c r="H85" s="24" t="str">
        <f>IFERROR(VLOOKUP(A85,庫存!$A:$I,8,0),"")</f>
        <v>安碁</v>
      </c>
      <c r="I85" s="24">
        <f>IFERROR(VLOOKUP(A85,庫存!$A:$I,9,0),"")</f>
        <v>0</v>
      </c>
    </row>
    <row r="86" spans="1:9" ht="23" customHeight="1" x14ac:dyDescent="0.35">
      <c r="A86" s="53" t="s">
        <v>969</v>
      </c>
      <c r="B86" s="34" t="str">
        <f>IFERROR(VLOOKUP(A86,庫存!$A:$I,2,0),"")</f>
        <v>LED SMD</v>
      </c>
      <c r="C86" s="34" t="str">
        <f>IFERROR(VLOOKUP(A86,庫存!$A:$I,3,0),"")</f>
        <v>LED/Red19-217-R6C-P1Q2-3T-V6/0603/5V/25mA/624 nm/億光</v>
      </c>
      <c r="D86" s="52">
        <v>1</v>
      </c>
      <c r="E86" s="35">
        <f t="shared" si="2"/>
        <v>300</v>
      </c>
      <c r="F86" s="45">
        <f>IFERROR(VLOOKUP(A86,庫存!$A:$I,4,0),"0")</f>
        <v>1063</v>
      </c>
      <c r="G86" s="43">
        <f t="shared" si="3"/>
        <v>763</v>
      </c>
      <c r="H86" s="24">
        <f>IFERROR(VLOOKUP(A86,庫存!$A:$I,8,0),"")</f>
        <v>0</v>
      </c>
      <c r="I86" s="24">
        <f>IFERROR(VLOOKUP(A86,庫存!$A:$I,9,0),"")</f>
        <v>0</v>
      </c>
    </row>
    <row r="87" spans="1:9" ht="23" customHeight="1" x14ac:dyDescent="0.35">
      <c r="A87" s="53" t="s">
        <v>970</v>
      </c>
      <c r="B87" s="34" t="str">
        <f>IFERROR(VLOOKUP(A87,庫存!$A:$I,2,0),"")</f>
        <v>Contact switch</v>
      </c>
      <c r="C87" s="34" t="str">
        <f>IFERROR(VLOOKUP(A87,庫存!$A:$I,3,0),"")</f>
        <v>PUSHBUTTON/TSSA-3L 8mm/PB10-SMD/12V/50mA/200mohm/6x6mm/華傑</v>
      </c>
      <c r="D87" s="52">
        <v>1</v>
      </c>
      <c r="E87" s="35">
        <f t="shared" si="2"/>
        <v>300</v>
      </c>
      <c r="F87" s="45">
        <f>IFERROR(VLOOKUP(A87,庫存!$A:$I,4,0),"0")</f>
        <v>9</v>
      </c>
      <c r="G87" s="43">
        <f t="shared" si="3"/>
        <v>-291</v>
      </c>
      <c r="H87" s="24">
        <f>IFERROR(VLOOKUP(A87,庫存!$A:$I,8,0),"")</f>
        <v>0</v>
      </c>
      <c r="I87" s="24">
        <f>IFERROR(VLOOKUP(A87,庫存!$A:$I,9,0),"")</f>
        <v>0</v>
      </c>
    </row>
    <row r="88" spans="1:9" ht="23" customHeight="1" x14ac:dyDescent="0.35">
      <c r="A88" s="53" t="s">
        <v>971</v>
      </c>
      <c r="B88" s="34" t="str">
        <f>IFERROR(VLOOKUP(A88,庫存!$A:$I,2,0),"")</f>
        <v>MCU</v>
      </c>
      <c r="C88" s="34" t="str">
        <f>IFERROR(VLOOKUP(A88,庫存!$A:$I,3,0),"")</f>
        <v>IC/MCU/NUC230LD2AE/LQFP48/5.5V/32bit/64KB /72MHz/15.8mm×15.8mm/NUVOTON</v>
      </c>
      <c r="D88" s="52">
        <v>1</v>
      </c>
      <c r="E88" s="35">
        <f t="shared" si="2"/>
        <v>300</v>
      </c>
      <c r="F88" s="45">
        <f>IFERROR(VLOOKUP(A88,庫存!$A:$I,4,0),"0")</f>
        <v>161</v>
      </c>
      <c r="G88" s="43">
        <f t="shared" si="3"/>
        <v>-139</v>
      </c>
      <c r="H88" s="24">
        <f>IFERROR(VLOOKUP(A88,庫存!$A:$I,8,0),"")</f>
        <v>0</v>
      </c>
      <c r="I88" s="24">
        <f>IFERROR(VLOOKUP(A88,庫存!$A:$I,9,0),"")</f>
        <v>0</v>
      </c>
    </row>
    <row r="89" spans="1:9" ht="23" customHeight="1" x14ac:dyDescent="0.35">
      <c r="A89" s="53" t="s">
        <v>972</v>
      </c>
      <c r="B89" s="34" t="str">
        <f>IFERROR(VLOOKUP(A89,庫存!$A:$I,2,0),"")</f>
        <v>Gauge</v>
      </c>
      <c r="C89" s="34" t="str">
        <f>IFERROR(VLOOKUP(A89,庫存!$A:$I,3,0),"")</f>
        <v>IC/BatteryManagement/BQ78350DBTR-R1/TSSOP-30/5.5V/650uA</v>
      </c>
      <c r="D89" s="52">
        <v>1</v>
      </c>
      <c r="E89" s="35">
        <f t="shared" si="2"/>
        <v>300</v>
      </c>
      <c r="F89" s="45">
        <f>IFERROR(VLOOKUP(A89,庫存!$A:$I,4,0),"0")</f>
        <v>1316</v>
      </c>
      <c r="G89" s="43">
        <f t="shared" si="3"/>
        <v>1016</v>
      </c>
      <c r="H89" s="24">
        <f>IFERROR(VLOOKUP(A89,庫存!$A:$I,8,0),"")</f>
        <v>0</v>
      </c>
      <c r="I89" s="24">
        <f>IFERROR(VLOOKUP(A89,庫存!$A:$I,9,0),"")</f>
        <v>0</v>
      </c>
    </row>
    <row r="90" spans="1:9" ht="23" customHeight="1" x14ac:dyDescent="0.35">
      <c r="A90" s="53" t="s">
        <v>973</v>
      </c>
      <c r="B90" s="34" t="str">
        <f>IFERROR(VLOOKUP(A90,庫存!$A:$I,2,0),"")</f>
        <v>Gauge</v>
      </c>
      <c r="C90" s="34" t="str">
        <f>IFERROR(VLOOKUP(A90,庫存!$A:$I,3,0),"")</f>
        <v>IC/BatteryManagement/BQ7694003DBTR/TSSOP-44/25 V/40 uA/10.9mm*6.2mm/Texas Instruments</v>
      </c>
      <c r="D90" s="52">
        <v>1</v>
      </c>
      <c r="E90" s="35">
        <f t="shared" si="2"/>
        <v>300</v>
      </c>
      <c r="F90" s="45">
        <f>IFERROR(VLOOKUP(A90,庫存!$A:$I,4,0),"0")</f>
        <v>112</v>
      </c>
      <c r="G90" s="43">
        <f t="shared" si="3"/>
        <v>-188</v>
      </c>
      <c r="H90" s="24">
        <f>IFERROR(VLOOKUP(A90,庫存!$A:$I,8,0),"")</f>
        <v>0</v>
      </c>
      <c r="I90" s="24">
        <f>IFERROR(VLOOKUP(A90,庫存!$A:$I,9,0),"")</f>
        <v>0</v>
      </c>
    </row>
    <row r="91" spans="1:9" ht="23" customHeight="1" x14ac:dyDescent="0.35">
      <c r="A91" s="53" t="s">
        <v>1098</v>
      </c>
      <c r="B91" s="34" t="str">
        <f>IFERROR(VLOOKUP(A91,庫存!$A:$I,2,0),"")</f>
        <v>Gauge</v>
      </c>
      <c r="C91" s="34" t="str">
        <f>IFERROR(VLOOKUP(A91,庫存!$A:$I,3,0),"")</f>
        <v>IC/BatteryManagement/BQ7693003DBTR/TSSOP-30/25V/40 uA/7.8mm*4.4mm/TI</v>
      </c>
      <c r="D91" s="52">
        <v>1</v>
      </c>
      <c r="E91" s="35">
        <f t="shared" si="2"/>
        <v>300</v>
      </c>
      <c r="F91" s="45">
        <f>IFERROR(VLOOKUP(A91,庫存!$A:$I,4,0),"0")</f>
        <v>1000</v>
      </c>
      <c r="G91" s="43">
        <f t="shared" si="3"/>
        <v>700</v>
      </c>
      <c r="H91" s="24">
        <f>IFERROR(VLOOKUP(A91,庫存!$A:$I,8,0),"")</f>
        <v>0</v>
      </c>
      <c r="I91" s="24">
        <f>IFERROR(VLOOKUP(A91,庫存!$A:$I,9,0),"")</f>
        <v>0</v>
      </c>
    </row>
    <row r="92" spans="1:9" ht="23" customHeight="1" x14ac:dyDescent="0.35">
      <c r="A92" s="53" t="s">
        <v>1109</v>
      </c>
      <c r="B92" s="34" t="str">
        <f>IFERROR(VLOOKUP(A92,庫存!$A:$I,2,0),"")</f>
        <v>Protection IC</v>
      </c>
      <c r="C92" s="34" t="str">
        <f>IFERROR(VLOOKUP(A92,庫存!$A:$I,3,0),"")</f>
        <v>IC/Battery Management/S-8215AAV-K8T2U/TMSOP-8/OCV4.3V/ABLIC</v>
      </c>
      <c r="D92" s="52">
        <v>3</v>
      </c>
      <c r="E92" s="35">
        <f t="shared" si="2"/>
        <v>900</v>
      </c>
      <c r="F92" s="45">
        <f>IFERROR(VLOOKUP(A92,庫存!$A:$I,4,0),"0")</f>
        <v>0</v>
      </c>
      <c r="G92" s="43">
        <f t="shared" si="3"/>
        <v>-900</v>
      </c>
      <c r="H92" s="24" t="str">
        <f>IFERROR(VLOOKUP(A92,庫存!$A:$I,8,0),"")</f>
        <v>澧村</v>
      </c>
      <c r="I92" s="24">
        <f>IFERROR(VLOOKUP(A92,庫存!$A:$I,9,0),"")</f>
        <v>0</v>
      </c>
    </row>
    <row r="93" spans="1:9" ht="23" customHeight="1" x14ac:dyDescent="0.35">
      <c r="A93" s="53" t="s">
        <v>974</v>
      </c>
      <c r="B93" s="34" t="str">
        <f>IFERROR(VLOOKUP(A93,庫存!$A:$I,2,0),"")</f>
        <v>Communication IC</v>
      </c>
      <c r="C93" s="34" t="str">
        <f>IFERROR(VLOOKUP(A93,庫存!$A:$I,3,0),"")</f>
        <v>IC/CAN Isolate/ISO1050DUBR/SOP8/3.3V,5V/52mA/200mW/9.5x6.57mm/TI</v>
      </c>
      <c r="D93" s="52">
        <v>1</v>
      </c>
      <c r="E93" s="35">
        <f t="shared" si="2"/>
        <v>300</v>
      </c>
      <c r="F93" s="45">
        <f>IFERROR(VLOOKUP(A93,庫存!$A:$I,4,0),"0")</f>
        <v>364</v>
      </c>
      <c r="G93" s="43">
        <f t="shared" si="3"/>
        <v>64</v>
      </c>
      <c r="H93" s="24">
        <f>IFERROR(VLOOKUP(A93,庫存!$A:$I,8,0),"")</f>
        <v>0</v>
      </c>
      <c r="I93" s="24">
        <f>IFERROR(VLOOKUP(A93,庫存!$A:$I,9,0),"")</f>
        <v>0</v>
      </c>
    </row>
    <row r="94" spans="1:9" ht="23" customHeight="1" x14ac:dyDescent="0.35">
      <c r="A94" s="53" t="s">
        <v>975</v>
      </c>
      <c r="B94" s="34" t="str">
        <f>IFERROR(VLOOKUP(A94,庫存!$A:$I,2,0),"")</f>
        <v>Communication IC</v>
      </c>
      <c r="C94" s="34" t="str">
        <f>IFERROR(VLOOKUP(A94,庫存!$A:$I,3,0),"")</f>
        <v>IC/RS-232/MAX232ECPWR/TSSOP16/5V/10mA/250kb/s/5.00 mm × 4.40 mm/TI</v>
      </c>
      <c r="D94" s="52">
        <v>1</v>
      </c>
      <c r="E94" s="35">
        <f t="shared" si="2"/>
        <v>300</v>
      </c>
      <c r="F94" s="45">
        <f>IFERROR(VLOOKUP(A94,庫存!$A:$I,4,0),"0")</f>
        <v>569</v>
      </c>
      <c r="G94" s="43">
        <f t="shared" si="3"/>
        <v>269</v>
      </c>
      <c r="H94" s="24">
        <f>IFERROR(VLOOKUP(A94,庫存!$A:$I,8,0),"")</f>
        <v>0</v>
      </c>
      <c r="I94" s="24">
        <f>IFERROR(VLOOKUP(A94,庫存!$A:$I,9,0),"")</f>
        <v>0</v>
      </c>
    </row>
    <row r="95" spans="1:9" ht="23" customHeight="1" x14ac:dyDescent="0.35">
      <c r="A95" s="53" t="s">
        <v>1105</v>
      </c>
      <c r="B95" s="34" t="str">
        <f>IFERROR(VLOOKUP(A95,庫存!$A:$I,2,0),"")</f>
        <v>Communication IC</v>
      </c>
      <c r="C95" s="34" t="str">
        <f>IFERROR(VLOOKUP(A95,庫存!$A:$I,3,0),"")</f>
        <v>IC/RS-232/MAX232EIPWR/TSSOP16/TI</v>
      </c>
      <c r="D95" s="52">
        <v>1</v>
      </c>
      <c r="E95" s="35">
        <f t="shared" si="2"/>
        <v>300</v>
      </c>
      <c r="F95" s="45">
        <f>IFERROR(VLOOKUP(A95,庫存!$A:$I,4,0),"0")</f>
        <v>0</v>
      </c>
      <c r="G95" s="43">
        <f t="shared" si="3"/>
        <v>-300</v>
      </c>
      <c r="H95" s="24">
        <f>IFERROR(VLOOKUP(A95,庫存!$A:$I,8,0),"")</f>
        <v>0</v>
      </c>
      <c r="I95" s="24">
        <f>IFERROR(VLOOKUP(A95,庫存!$A:$I,9,0),"")</f>
        <v>0</v>
      </c>
    </row>
    <row r="96" spans="1:9" ht="23" customHeight="1" x14ac:dyDescent="0.35">
      <c r="A96" s="53" t="s">
        <v>976</v>
      </c>
      <c r="B96" s="34" t="str">
        <f>IFERROR(VLOOKUP(A96,庫存!$A:$I,2,0),"")</f>
        <v>Communication IC</v>
      </c>
      <c r="C96" s="34" t="str">
        <f>IFERROR(VLOOKUP(A96,庫存!$A:$I,3,0),"")</f>
        <v>IC/ Interface/ISO1450DW/SOIC-16/5.5V/60mA/10.6mm×7.5mm/TexasInstruments</v>
      </c>
      <c r="D96" s="52">
        <v>1</v>
      </c>
      <c r="E96" s="35">
        <f t="shared" si="2"/>
        <v>300</v>
      </c>
      <c r="F96" s="45">
        <f>IFERROR(VLOOKUP(A96,庫存!$A:$I,4,0),"0")</f>
        <v>213</v>
      </c>
      <c r="G96" s="43">
        <f t="shared" si="3"/>
        <v>-87</v>
      </c>
      <c r="H96" s="24">
        <f>IFERROR(VLOOKUP(A96,庫存!$A:$I,8,0),"")</f>
        <v>0</v>
      </c>
      <c r="I96" s="24">
        <f>IFERROR(VLOOKUP(A96,庫存!$A:$I,9,0),"")</f>
        <v>0</v>
      </c>
    </row>
    <row r="97" spans="1:9" ht="23" customHeight="1" x14ac:dyDescent="0.35">
      <c r="A97" s="53" t="s">
        <v>977</v>
      </c>
      <c r="B97" s="34" t="str">
        <f>IFERROR(VLOOKUP(A97,庫存!$A:$I,2,0),"")</f>
        <v>LDO IC</v>
      </c>
      <c r="C97" s="34" t="str">
        <f>IFERROR(VLOOKUP(A97,庫存!$A:$I,3,0),"")</f>
        <v>IC/LDO/LM5164DDAR/8-SO-PowerPad/100V/1A/4.8mmx5.8mm/Texas Instruments</v>
      </c>
      <c r="D97" s="52">
        <v>1</v>
      </c>
      <c r="E97" s="35">
        <f t="shared" si="2"/>
        <v>300</v>
      </c>
      <c r="F97" s="45">
        <f>IFERROR(VLOOKUP(A97,庫存!$A:$I,4,0),"0")</f>
        <v>454</v>
      </c>
      <c r="G97" s="43">
        <f t="shared" si="3"/>
        <v>154</v>
      </c>
      <c r="H97" s="24">
        <f>IFERROR(VLOOKUP(A97,庫存!$A:$I,8,0),"")</f>
        <v>0</v>
      </c>
      <c r="I97" s="24">
        <f>IFERROR(VLOOKUP(A97,庫存!$A:$I,9,0),"")</f>
        <v>0</v>
      </c>
    </row>
    <row r="98" spans="1:9" ht="23" customHeight="1" x14ac:dyDescent="0.35">
      <c r="A98" s="53" t="s">
        <v>978</v>
      </c>
      <c r="B98" s="34" t="str">
        <f>IFERROR(VLOOKUP(A98,庫存!$A:$I,2,0),"")</f>
        <v>LDO IC</v>
      </c>
      <c r="C98" s="34" t="str">
        <f>IFERROR(VLOOKUP(A98,庫存!$A:$I,3,0),"")</f>
        <v>IC/LDO/FR9850/SOT-23-6/18V/2A/2.8 mmx2.6m/FITIPOWER</v>
      </c>
      <c r="D98" s="52">
        <v>1</v>
      </c>
      <c r="E98" s="35">
        <f t="shared" si="2"/>
        <v>300</v>
      </c>
      <c r="F98" s="45">
        <f>IFERROR(VLOOKUP(A98,庫存!$A:$I,4,0),"0")</f>
        <v>2483</v>
      </c>
      <c r="G98" s="43">
        <f t="shared" si="3"/>
        <v>2183</v>
      </c>
      <c r="H98" s="24">
        <f>IFERROR(VLOOKUP(A98,庫存!$A:$I,8,0),"")</f>
        <v>0</v>
      </c>
      <c r="I98" s="24">
        <f>IFERROR(VLOOKUP(A98,庫存!$A:$I,9,0),"")</f>
        <v>0</v>
      </c>
    </row>
    <row r="99" spans="1:9" ht="23" customHeight="1" x14ac:dyDescent="0.35">
      <c r="A99" s="53" t="s">
        <v>979</v>
      </c>
      <c r="B99" s="34" t="str">
        <f>IFERROR(VLOOKUP(A99,庫存!$A:$I,2,0),"")</f>
        <v>LDO IC</v>
      </c>
      <c r="C99" s="34" t="str">
        <f>IFERROR(VLOOKUP(A99,庫存!$A:$I,3,0),"")</f>
        <v>IC/LDO/MCP1812AT-033-OT/SOT-23-5/3.3V/300mA////Microchip</v>
      </c>
      <c r="D99" s="52">
        <v>1</v>
      </c>
      <c r="E99" s="35">
        <f t="shared" si="2"/>
        <v>300</v>
      </c>
      <c r="F99" s="45">
        <f>IFERROR(VLOOKUP(A99,庫存!$A:$I,4,0),"0")</f>
        <v>2056</v>
      </c>
      <c r="G99" s="43">
        <f t="shared" si="3"/>
        <v>1756</v>
      </c>
      <c r="H99" s="24">
        <f>IFERROR(VLOOKUP(A99,庫存!$A:$I,8,0),"")</f>
        <v>0</v>
      </c>
      <c r="I99" s="24">
        <f>IFERROR(VLOOKUP(A99,庫存!$A:$I,9,0),"")</f>
        <v>0</v>
      </c>
    </row>
    <row r="100" spans="1:9" ht="23" customHeight="1" x14ac:dyDescent="0.35">
      <c r="A100" s="53" t="s">
        <v>980</v>
      </c>
      <c r="B100" s="34" t="str">
        <f>IFERROR(VLOOKUP(A100,庫存!$A:$I,2,0),"")</f>
        <v>LDO IC</v>
      </c>
      <c r="C100" s="34" t="str">
        <f>IFERROR(VLOOKUP(A100,庫存!$A:$I,3,0),"")</f>
        <v>IC/LDO/EC311125B1R/SOT23-3/30V/2uA/446mW/3mmx3.8mm/H.S.F</v>
      </c>
      <c r="D100" s="52">
        <v>1</v>
      </c>
      <c r="E100" s="35">
        <f t="shared" si="2"/>
        <v>300</v>
      </c>
      <c r="F100" s="45">
        <f>IFERROR(VLOOKUP(A100,庫存!$A:$I,4,0),"0")</f>
        <v>2239</v>
      </c>
      <c r="G100" s="43">
        <f t="shared" si="3"/>
        <v>1939</v>
      </c>
      <c r="H100" s="24">
        <f>IFERROR(VLOOKUP(A100,庫存!$A:$I,8,0),"")</f>
        <v>0</v>
      </c>
      <c r="I100" s="24">
        <f>IFERROR(VLOOKUP(A100,庫存!$A:$I,9,0),"")</f>
        <v>0</v>
      </c>
    </row>
    <row r="101" spans="1:9" ht="23" customHeight="1" x14ac:dyDescent="0.35">
      <c r="A101" s="53" t="s">
        <v>981</v>
      </c>
      <c r="B101" s="34" t="str">
        <f>IFERROR(VLOOKUP(A101,庫存!$A:$I,2,0),"")</f>
        <v>光耦合器</v>
      </c>
      <c r="C101" s="34" t="str">
        <f>IFERROR(VLOOKUP(A101,庫存!$A:$I,3,0),"")</f>
        <v>Photocoupler/EL817S1(C)(TU)-F/SMD-4/6V/60mA/200mW/Everlight</v>
      </c>
      <c r="D101" s="52">
        <v>2</v>
      </c>
      <c r="E101" s="35">
        <f t="shared" si="2"/>
        <v>600</v>
      </c>
      <c r="F101" s="45">
        <f>IFERROR(VLOOKUP(A101,庫存!$A:$I,4,0),"0")</f>
        <v>4021</v>
      </c>
      <c r="G101" s="43">
        <f t="shared" si="3"/>
        <v>3421</v>
      </c>
      <c r="H101" s="24">
        <f>IFERROR(VLOOKUP(A101,庫存!$A:$I,8,0),"")</f>
        <v>0</v>
      </c>
      <c r="I101" s="24">
        <f>IFERROR(VLOOKUP(A101,庫存!$A:$I,9,0),"")</f>
        <v>0</v>
      </c>
    </row>
    <row r="102" spans="1:9" ht="23" customHeight="1" x14ac:dyDescent="0.35">
      <c r="A102" s="53" t="s">
        <v>482</v>
      </c>
      <c r="B102" s="34" t="str">
        <f>IFERROR(VLOOKUP(A102,庫存!$A:$I,2,0),"")</f>
        <v>光耦合器</v>
      </c>
      <c r="C102" s="34" t="str">
        <f>IFERROR(VLOOKUP(A102,庫存!$A:$I,3,0),"")</f>
        <v>Photocoupler/ISOM8710/DFF0005A-C01/VCC6V/IF25mA/PDI75mW/TI</v>
      </c>
      <c r="D102" s="52">
        <v>2</v>
      </c>
      <c r="E102" s="35">
        <f t="shared" si="2"/>
        <v>600</v>
      </c>
      <c r="F102" s="45">
        <f>IFERROR(VLOOKUP(A102,庫存!$A:$I,4,0),"0")</f>
        <v>0</v>
      </c>
      <c r="G102" s="43">
        <f t="shared" si="3"/>
        <v>-600</v>
      </c>
      <c r="H102" s="24">
        <f>IFERROR(VLOOKUP(A102,庫存!$A:$I,8,0),"")</f>
        <v>0</v>
      </c>
      <c r="I102" s="24">
        <f>IFERROR(VLOOKUP(A102,庫存!$A:$I,9,0),"")</f>
        <v>0</v>
      </c>
    </row>
    <row r="103" spans="1:9" ht="23" customHeight="1" x14ac:dyDescent="0.35">
      <c r="A103" s="53" t="s">
        <v>982</v>
      </c>
      <c r="B103" s="34" t="str">
        <f>IFERROR(VLOOKUP(A103,庫存!$A:$I,2,0),"")</f>
        <v>光耦合器</v>
      </c>
      <c r="C103" s="34" t="str">
        <f>IFERROR(VLOOKUP(A103,庫存!$A:$I,3,0),"")</f>
        <v>Photocoupler/TLP3555A(TP1,F/DIP-4/5V/3A/550 mW/SMD/東芝</v>
      </c>
      <c r="D103" s="52">
        <v>1</v>
      </c>
      <c r="E103" s="35">
        <f t="shared" si="2"/>
        <v>300</v>
      </c>
      <c r="F103" s="45">
        <f>IFERROR(VLOOKUP(A103,庫存!$A:$I,4,0),"0")</f>
        <v>2630</v>
      </c>
      <c r="G103" s="43">
        <f t="shared" si="3"/>
        <v>2330</v>
      </c>
      <c r="H103" s="24">
        <f>IFERROR(VLOOKUP(A103,庫存!$A:$I,8,0),"")</f>
        <v>0</v>
      </c>
      <c r="I103" s="24">
        <f>IFERROR(VLOOKUP(A103,庫存!$A:$I,9,0),"")</f>
        <v>0</v>
      </c>
    </row>
    <row r="104" spans="1:9" ht="23" customHeight="1" x14ac:dyDescent="0.35">
      <c r="A104" s="53" t="s">
        <v>983</v>
      </c>
      <c r="B104" s="34" t="str">
        <f>IFERROR(VLOOKUP(A104,庫存!$A:$I,2,0),"")</f>
        <v>Magnetic Buzzer 有源蜂鳴器</v>
      </c>
      <c r="C104" s="34" t="str">
        <f>IFERROR(VLOOKUP(A104,庫存!$A:$I,3,0),"")</f>
        <v>Buzzer/TMX090042F-05027/DIP-2-5mm/5V/30mA/80db/Φ9.0 x H4.2/嘉林</v>
      </c>
      <c r="D104" s="52">
        <v>1</v>
      </c>
      <c r="E104" s="35">
        <f t="shared" si="2"/>
        <v>300</v>
      </c>
      <c r="F104" s="45">
        <f>IFERROR(VLOOKUP(A104,庫存!$A:$I,4,0),"0")</f>
        <v>2102</v>
      </c>
      <c r="G104" s="43">
        <f t="shared" si="3"/>
        <v>1802</v>
      </c>
      <c r="H104" s="24">
        <f>IFERROR(VLOOKUP(A104,庫存!$A:$I,8,0),"")</f>
        <v>0</v>
      </c>
      <c r="I104" s="24">
        <f>IFERROR(VLOOKUP(A104,庫存!$A:$I,9,0),"")</f>
        <v>0</v>
      </c>
    </row>
    <row r="105" spans="1:9" ht="23" customHeight="1" x14ac:dyDescent="0.35">
      <c r="A105" s="53" t="s">
        <v>984</v>
      </c>
      <c r="B105" s="34" t="str">
        <f>IFERROR(VLOOKUP(A105,庫存!$A:$I,2,0),"")</f>
        <v>Other Connector</v>
      </c>
      <c r="C105" s="34" t="str">
        <f>IFERROR(VLOOKUP(A105,庫存!$A:$I,3,0),"")</f>
        <v>Connector/P-831/DIP/85A/8.00 * 10.80/町洋</v>
      </c>
      <c r="D105" s="52">
        <v>8</v>
      </c>
      <c r="E105" s="35">
        <f t="shared" si="2"/>
        <v>2400</v>
      </c>
      <c r="F105" s="45">
        <f>IFERROR(VLOOKUP(A105,庫存!$A:$I,4,0),"0")</f>
        <v>0</v>
      </c>
      <c r="G105" s="43">
        <f t="shared" si="3"/>
        <v>-2400</v>
      </c>
      <c r="H105" s="24" t="str">
        <f>IFERROR(VLOOKUP(A105,庫存!$A:$I,8,0),"")</f>
        <v>町洋</v>
      </c>
      <c r="I105" s="24">
        <f>IFERROR(VLOOKUP(A105,庫存!$A:$I,9,0),"")</f>
        <v>0</v>
      </c>
    </row>
    <row r="106" spans="1:9" ht="23" customHeight="1" x14ac:dyDescent="0.35">
      <c r="A106" s="53" t="s">
        <v>1131</v>
      </c>
      <c r="B106" s="34" t="str">
        <f>IFERROR(VLOOKUP(A106,庫存!$A:$I,2,0),"")</f>
        <v>Connector</v>
      </c>
      <c r="C106" s="34" t="str">
        <f>IFERROR(VLOOKUP(A106,庫存!$A:$I,3,0),"")</f>
        <v>Wafer/CHEB200S030-CF10043/2*15PIN/180deg-Dip/2.0mm/承洧</v>
      </c>
      <c r="D106" s="52">
        <v>1</v>
      </c>
      <c r="E106" s="35">
        <f t="shared" si="2"/>
        <v>300</v>
      </c>
      <c r="F106" s="45">
        <f>IFERROR(VLOOKUP(A106,庫存!$A:$I,4,0),"0")</f>
        <v>0</v>
      </c>
      <c r="G106" s="43">
        <f t="shared" si="3"/>
        <v>-300</v>
      </c>
      <c r="H106" s="24" t="str">
        <f>IFERROR(VLOOKUP(A106,庫存!$A:$I,8,0),"")</f>
        <v>承洧</v>
      </c>
      <c r="I106" s="24">
        <f>IFERROR(VLOOKUP(A106,庫存!$A:$I,9,0),"")</f>
        <v>0</v>
      </c>
    </row>
    <row r="107" spans="1:9" ht="23" customHeight="1" x14ac:dyDescent="0.35">
      <c r="A107" s="53" t="s">
        <v>985</v>
      </c>
      <c r="B107" s="34" t="str">
        <f>IFERROR(VLOOKUP(A107,庫存!$A:$I,2,0),"")</f>
        <v>DIP Resister</v>
      </c>
      <c r="C107" s="34" t="str">
        <f>IFERROR(VLOOKUP(A107,庫存!$A:$I,3,0),"")</f>
        <v>DIP RES/MOS3CT631R101J/100R/3W/5%/KOA</v>
      </c>
      <c r="D107" s="52">
        <v>2</v>
      </c>
      <c r="E107" s="35">
        <f t="shared" si="2"/>
        <v>600</v>
      </c>
      <c r="F107" s="45">
        <f>IFERROR(VLOOKUP(A107,庫存!$A:$I,4,0),"0")</f>
        <v>800</v>
      </c>
      <c r="G107" s="43">
        <f t="shared" si="3"/>
        <v>200</v>
      </c>
      <c r="H107" s="24">
        <f>IFERROR(VLOOKUP(A107,庫存!$A:$I,8,0),"")</f>
        <v>0</v>
      </c>
      <c r="I107" s="24">
        <f>IFERROR(VLOOKUP(A107,庫存!$A:$I,9,0),"")</f>
        <v>0</v>
      </c>
    </row>
    <row r="108" spans="1:9" ht="23" customHeight="1" x14ac:dyDescent="0.35">
      <c r="A108" s="53" t="s">
        <v>986</v>
      </c>
      <c r="B108" s="34" t="str">
        <f>IFERROR(VLOOKUP(A108,庫存!$A:$I,2,0),"")</f>
        <v>Wafer Connector</v>
      </c>
      <c r="C108" s="34" t="str">
        <f>IFERROR(VLOOKUP(A108,庫存!$A:$I,3,0),"")</f>
        <v>Wafer/CX-W250-02/2PIN/180deg-Dip/2.5mm/承洧</v>
      </c>
      <c r="D108" s="52">
        <v>7</v>
      </c>
      <c r="E108" s="35">
        <f t="shared" si="2"/>
        <v>2100</v>
      </c>
      <c r="F108" s="45">
        <f>IFERROR(VLOOKUP(A108,庫存!$A:$I,4,0),"0")</f>
        <v>210</v>
      </c>
      <c r="G108" s="43">
        <f t="shared" si="3"/>
        <v>-1890</v>
      </c>
      <c r="H108" s="24" t="str">
        <f>IFERROR(VLOOKUP(A108,庫存!$A:$I,8,0),"")</f>
        <v>承洧</v>
      </c>
      <c r="I108" s="24">
        <f>IFERROR(VLOOKUP(A108,庫存!$A:$I,9,0),"")</f>
        <v>0</v>
      </c>
    </row>
    <row r="109" spans="1:9" ht="23" customHeight="1" x14ac:dyDescent="0.35">
      <c r="A109" s="53" t="s">
        <v>410</v>
      </c>
      <c r="B109" s="34" t="str">
        <f>IFERROR(VLOOKUP(A109,庫存!$A:$I,2,0),"")</f>
        <v>Wafer Connector</v>
      </c>
      <c r="C109" s="34" t="str">
        <f>IFERROR(VLOOKUP(A109,庫存!$A:$I,3,0),"")</f>
        <v>Wafer/CX-W250-03/3PIN/180deg-Dip/2.5mm/承洧</v>
      </c>
      <c r="D109" s="52">
        <v>1</v>
      </c>
      <c r="E109" s="35">
        <f t="shared" si="2"/>
        <v>300</v>
      </c>
      <c r="F109" s="45">
        <f>IFERROR(VLOOKUP(A109,庫存!$A:$I,4,0),"0")</f>
        <v>466</v>
      </c>
      <c r="G109" s="43">
        <f t="shared" si="3"/>
        <v>166</v>
      </c>
      <c r="H109" s="24" t="str">
        <f>IFERROR(VLOOKUP(A109,庫存!$A:$I,8,0),"")</f>
        <v>承洧</v>
      </c>
      <c r="I109" s="24">
        <f>IFERROR(VLOOKUP(A109,庫存!$A:$I,9,0),"")</f>
        <v>0</v>
      </c>
    </row>
    <row r="110" spans="1:9" ht="23" customHeight="1" x14ac:dyDescent="0.35">
      <c r="A110" s="53" t="s">
        <v>987</v>
      </c>
      <c r="B110" s="34" t="str">
        <f>IFERROR(VLOOKUP(A110,庫存!$A:$I,2,0),"")</f>
        <v>Wafer Connector</v>
      </c>
      <c r="C110" s="34" t="str">
        <f>IFERROR(VLOOKUP(A110,庫存!$A:$I,3,0),"")</f>
        <v>Wafer/CX-W250-04/4PIN/180deg-Dip/2.5mm/承洧</v>
      </c>
      <c r="D110" s="52">
        <v>7</v>
      </c>
      <c r="E110" s="35">
        <f t="shared" si="2"/>
        <v>2100</v>
      </c>
      <c r="F110" s="45">
        <f>IFERROR(VLOOKUP(A110,庫存!$A:$I,4,0),"0")</f>
        <v>700</v>
      </c>
      <c r="G110" s="43">
        <f t="shared" si="3"/>
        <v>-1400</v>
      </c>
      <c r="H110" s="24" t="str">
        <f>IFERROR(VLOOKUP(A110,庫存!$A:$I,8,0),"")</f>
        <v>承洧</v>
      </c>
      <c r="I110" s="24">
        <f>IFERROR(VLOOKUP(A110,庫存!$A:$I,9,0),"")</f>
        <v>0</v>
      </c>
    </row>
    <row r="111" spans="1:9" ht="23" customHeight="1" x14ac:dyDescent="0.35">
      <c r="A111" s="53" t="s">
        <v>988</v>
      </c>
      <c r="B111" s="34" t="str">
        <f>IFERROR(VLOOKUP(A111,庫存!$A:$I,2,0),"")</f>
        <v>Wafer Connector</v>
      </c>
      <c r="C111" s="34" t="str">
        <f>IFERROR(VLOOKUP(A111,庫存!$A:$I,3,0),"")</f>
        <v>Wafer/5PIN/180deg-Dip/2.5mm/承洧</v>
      </c>
      <c r="D111" s="52">
        <v>1</v>
      </c>
      <c r="E111" s="35">
        <f t="shared" si="2"/>
        <v>300</v>
      </c>
      <c r="F111" s="45">
        <f>IFERROR(VLOOKUP(A111,庫存!$A:$I,4,0),"0")</f>
        <v>1063</v>
      </c>
      <c r="G111" s="43">
        <f t="shared" si="3"/>
        <v>763</v>
      </c>
      <c r="H111" s="24" t="str">
        <f>IFERROR(VLOOKUP(A111,庫存!$A:$I,8,0),"")</f>
        <v>承洧</v>
      </c>
      <c r="I111" s="24">
        <f>IFERROR(VLOOKUP(A111,庫存!$A:$I,9,0),"")</f>
        <v>0</v>
      </c>
    </row>
    <row r="112" spans="1:9" ht="23" customHeight="1" x14ac:dyDescent="0.35">
      <c r="A112" s="53" t="s">
        <v>989</v>
      </c>
      <c r="B112" s="34" t="str">
        <f>IFERROR(VLOOKUP(A112,庫存!$A:$I,2,0),"")</f>
        <v>Wafer Connector</v>
      </c>
      <c r="C112" s="34" t="str">
        <f>IFERROR(VLOOKUP(A112,庫存!$A:$I,3,0),"")</f>
        <v>Wafer/CX-W250-08/8PIN/180deg-Dip/2.5mm/承洧</v>
      </c>
      <c r="D112" s="52">
        <v>1</v>
      </c>
      <c r="E112" s="35">
        <f t="shared" si="2"/>
        <v>300</v>
      </c>
      <c r="F112" s="45">
        <f>IFERROR(VLOOKUP(A112,庫存!$A:$I,4,0),"0")</f>
        <v>590</v>
      </c>
      <c r="G112" s="43">
        <f t="shared" si="3"/>
        <v>290</v>
      </c>
      <c r="H112" s="24" t="str">
        <f>IFERROR(VLOOKUP(A112,庫存!$A:$I,8,0),"")</f>
        <v>承洧</v>
      </c>
      <c r="I112" s="24">
        <f>IFERROR(VLOOKUP(A112,庫存!$A:$I,9,0),"")</f>
        <v>0</v>
      </c>
    </row>
    <row r="113" spans="1:9" ht="23" customHeight="1" x14ac:dyDescent="0.35">
      <c r="A113" s="53" t="s">
        <v>990</v>
      </c>
      <c r="B113" s="34" t="str">
        <f>IFERROR(VLOOKUP(A113,庫存!$A:$I,2,0),"")</f>
        <v>Wafer Connector</v>
      </c>
      <c r="C113" s="34" t="str">
        <f>IFERROR(VLOOKUP(A113,庫存!$A:$I,3,0),"")</f>
        <v>Wafer/CX-W250-09/9PIN/180deg-Dip/2.5mm/承洧</v>
      </c>
      <c r="D113" s="52">
        <v>1</v>
      </c>
      <c r="E113" s="35">
        <f t="shared" si="2"/>
        <v>300</v>
      </c>
      <c r="F113" s="45">
        <f>IFERROR(VLOOKUP(A113,庫存!$A:$I,4,0),"0")</f>
        <v>309</v>
      </c>
      <c r="G113" s="43">
        <f t="shared" si="3"/>
        <v>9</v>
      </c>
      <c r="H113" s="24" t="str">
        <f>IFERROR(VLOOKUP(A113,庫存!$A:$I,8,0),"")</f>
        <v>承洧</v>
      </c>
      <c r="I113" s="24">
        <f>IFERROR(VLOOKUP(A113,庫存!$A:$I,9,0),"")</f>
        <v>0</v>
      </c>
    </row>
    <row r="114" spans="1:9" ht="23" customHeight="1" x14ac:dyDescent="0.35">
      <c r="A114" s="53" t="s">
        <v>436</v>
      </c>
      <c r="B114" s="34" t="str">
        <f>IFERROR(VLOOKUP(A114,庫存!$A:$I,2,0),"")</f>
        <v>Wafer Connector</v>
      </c>
      <c r="C114" s="34" t="str">
        <f>IFERROR(VLOOKUP(A114,庫存!$A:$I,3,0),"")</f>
        <v>Wafer/CX-W250-13/13PIN/180deg-Dip/2.5mm/承洧</v>
      </c>
      <c r="D114" s="52">
        <v>1</v>
      </c>
      <c r="E114" s="35">
        <f t="shared" si="2"/>
        <v>300</v>
      </c>
      <c r="F114" s="45">
        <f>IFERROR(VLOOKUP(A114,庫存!$A:$I,4,0),"0")</f>
        <v>1000</v>
      </c>
      <c r="G114" s="43">
        <f t="shared" si="3"/>
        <v>700</v>
      </c>
      <c r="H114" s="24" t="str">
        <f>IFERROR(VLOOKUP(A114,庫存!$A:$I,8,0),"")</f>
        <v>承洧</v>
      </c>
      <c r="I114" s="24">
        <f>IFERROR(VLOOKUP(A114,庫存!$A:$I,9,0),"")</f>
        <v>0</v>
      </c>
    </row>
    <row r="115" spans="1:9" ht="23" customHeight="1" x14ac:dyDescent="0.35">
      <c r="A115" s="53" t="s">
        <v>435</v>
      </c>
      <c r="B115" s="34" t="str">
        <f>IFERROR(VLOOKUP(A115,庫存!$A:$I,2,0),"")</f>
        <v>Wafer Connector</v>
      </c>
      <c r="C115" s="34" t="str">
        <f>IFERROR(VLOOKUP(A115,庫存!$A:$I,3,0),"")</f>
        <v>Wafer/CX-W250-20/20PIN/180deg-Dip/2.5mm/承洧</v>
      </c>
      <c r="D115" s="52">
        <v>1</v>
      </c>
      <c r="E115" s="35">
        <f t="shared" si="2"/>
        <v>300</v>
      </c>
      <c r="F115" s="45">
        <f>IFERROR(VLOOKUP(A115,庫存!$A:$I,4,0),"0")</f>
        <v>2000</v>
      </c>
      <c r="G115" s="43">
        <f t="shared" si="3"/>
        <v>1700</v>
      </c>
      <c r="H115" s="24" t="str">
        <f>IFERROR(VLOOKUP(A115,庫存!$A:$I,8,0),"")</f>
        <v>承洧</v>
      </c>
      <c r="I115" s="24">
        <f>IFERROR(VLOOKUP(A115,庫存!$A:$I,9,0),"")</f>
        <v>0</v>
      </c>
    </row>
    <row r="116" spans="1:9" ht="23" customHeight="1" x14ac:dyDescent="0.35">
      <c r="A116" s="53" t="s">
        <v>21</v>
      </c>
      <c r="B116" s="34" t="str">
        <f>IFERROR(VLOOKUP(A116,庫存!$A:$I,2,0),"")</f>
        <v>Convert IC</v>
      </c>
      <c r="C116" s="34" t="str">
        <f>IFERROR(VLOOKUP(A116,庫存!$A:$I,3,0),"")</f>
        <v>IC/ISO 5V/B0505s-1wR3/4-SIP 模組/5V/200mA/11.6mm x 6.0mm x 10.2mm/Mornsun</v>
      </c>
      <c r="D116" s="52">
        <v>1</v>
      </c>
      <c r="E116" s="35">
        <f t="shared" si="2"/>
        <v>300</v>
      </c>
      <c r="F116" s="45">
        <f>IFERROR(VLOOKUP(A116,庫存!$A:$I,4,0),"0")</f>
        <v>0</v>
      </c>
      <c r="G116" s="43">
        <f t="shared" si="3"/>
        <v>-300</v>
      </c>
      <c r="H116" s="24">
        <f>IFERROR(VLOOKUP(A116,庫存!$A:$I,8,0),"")</f>
        <v>0</v>
      </c>
      <c r="I116" s="24">
        <f>IFERROR(VLOOKUP(A116,庫存!$A:$I,9,0),"")</f>
        <v>0</v>
      </c>
    </row>
    <row r="117" spans="1:9" ht="23" customHeight="1" x14ac:dyDescent="0.35">
      <c r="A117" s="57"/>
      <c r="B117" s="34" t="str">
        <f>IFERROR(VLOOKUP(A117,庫存!$A:$I,2,0),"")</f>
        <v/>
      </c>
      <c r="C117" s="34" t="str">
        <f>IFERROR(VLOOKUP(A117,庫存!$A:$I,3,0),"")</f>
        <v/>
      </c>
      <c r="D117" s="54"/>
      <c r="E117" s="35" t="str">
        <f t="shared" si="2"/>
        <v/>
      </c>
      <c r="F117" s="45" t="str">
        <f>IFERROR(VLOOKUP(A117,庫存!$A:$I,4,0),"0")</f>
        <v>0</v>
      </c>
      <c r="G117" s="43" t="str">
        <f t="shared" si="3"/>
        <v/>
      </c>
      <c r="H117" s="24" t="str">
        <f>IFERROR(VLOOKUP(A117,庫存!$A:$I,8,0),"")</f>
        <v/>
      </c>
      <c r="I117" s="24" t="str">
        <f>IFERROR(VLOOKUP(A117,庫存!$A:$I,9,0),"")</f>
        <v/>
      </c>
    </row>
    <row r="118" spans="1:9" ht="23" customHeight="1" x14ac:dyDescent="0.35">
      <c r="A118" s="57"/>
      <c r="B118" s="34" t="str">
        <f>IFERROR(VLOOKUP(A118,庫存!$A:$I,2,0),"")</f>
        <v/>
      </c>
      <c r="C118" s="34" t="str">
        <f>IFERROR(VLOOKUP(A118,庫存!$A:$I,3,0),"")</f>
        <v/>
      </c>
      <c r="D118" s="54"/>
      <c r="E118" s="35" t="str">
        <f t="shared" si="2"/>
        <v/>
      </c>
      <c r="F118" s="45" t="str">
        <f>IFERROR(VLOOKUP(A118,庫存!$A:$I,4,0),"0")</f>
        <v>0</v>
      </c>
      <c r="G118" s="43" t="str">
        <f t="shared" si="3"/>
        <v/>
      </c>
      <c r="H118" s="24" t="str">
        <f>IFERROR(VLOOKUP(A118,庫存!$A:$I,8,0),"")</f>
        <v/>
      </c>
      <c r="I118" s="24" t="str">
        <f>IFERROR(VLOOKUP(A118,庫存!$A:$I,9,0),"")</f>
        <v/>
      </c>
    </row>
    <row r="119" spans="1:9" ht="23" customHeight="1" x14ac:dyDescent="0.35">
      <c r="A119" s="57"/>
      <c r="B119" s="34" t="str">
        <f>IFERROR(VLOOKUP(A119,庫存!$A:$I,2,0),"")</f>
        <v/>
      </c>
      <c r="C119" s="34" t="str">
        <f>IFERROR(VLOOKUP(A119,庫存!$A:$I,3,0),"")</f>
        <v/>
      </c>
      <c r="D119" s="54"/>
      <c r="E119" s="35" t="str">
        <f t="shared" si="2"/>
        <v/>
      </c>
      <c r="F119" s="45" t="str">
        <f>IFERROR(VLOOKUP(A119,庫存!$A:$I,4,0),"0")</f>
        <v>0</v>
      </c>
      <c r="G119" s="43" t="str">
        <f t="shared" si="3"/>
        <v/>
      </c>
      <c r="H119" s="24" t="str">
        <f>IFERROR(VLOOKUP(A119,庫存!$A:$I,8,0),"")</f>
        <v/>
      </c>
      <c r="I119" s="24" t="str">
        <f>IFERROR(VLOOKUP(A119,庫存!$A:$I,9,0),"")</f>
        <v/>
      </c>
    </row>
    <row r="120" spans="1:9" ht="23" customHeight="1" x14ac:dyDescent="0.35">
      <c r="A120" s="57"/>
      <c r="B120" s="34" t="str">
        <f>IFERROR(VLOOKUP(A120,庫存!$A:$I,2,0),"")</f>
        <v/>
      </c>
      <c r="C120" s="34" t="str">
        <f>IFERROR(VLOOKUP(A120,庫存!$A:$I,3,0),"")</f>
        <v/>
      </c>
      <c r="D120" s="54"/>
      <c r="E120" s="35" t="str">
        <f t="shared" si="2"/>
        <v/>
      </c>
      <c r="F120" s="45" t="str">
        <f>IFERROR(VLOOKUP(A120,庫存!$A:$I,4,0),"0")</f>
        <v>0</v>
      </c>
      <c r="G120" s="43" t="str">
        <f t="shared" si="3"/>
        <v/>
      </c>
      <c r="H120" s="24" t="str">
        <f>IFERROR(VLOOKUP(A120,庫存!$A:$I,8,0),"")</f>
        <v/>
      </c>
      <c r="I120" s="24" t="str">
        <f>IFERROR(VLOOKUP(A120,庫存!$A:$I,9,0),"")</f>
        <v/>
      </c>
    </row>
    <row r="121" spans="1:9" ht="23" customHeight="1" x14ac:dyDescent="0.35">
      <c r="A121" s="57"/>
      <c r="B121" s="34" t="str">
        <f>IFERROR(VLOOKUP(A121,庫存!$A:$I,2,0),"")</f>
        <v/>
      </c>
      <c r="C121" s="34" t="str">
        <f>IFERROR(VLOOKUP(A121,庫存!$A:$I,3,0),"")</f>
        <v/>
      </c>
      <c r="D121" s="54"/>
      <c r="E121" s="35" t="str">
        <f t="shared" si="2"/>
        <v/>
      </c>
      <c r="F121" s="45" t="str">
        <f>IFERROR(VLOOKUP(A121,庫存!$A:$I,4,0),"0")</f>
        <v>0</v>
      </c>
      <c r="G121" s="43" t="str">
        <f t="shared" si="3"/>
        <v/>
      </c>
      <c r="H121" s="24" t="str">
        <f>IFERROR(VLOOKUP(A121,庫存!$A:$I,8,0),"")</f>
        <v/>
      </c>
      <c r="I121" s="24" t="str">
        <f>IFERROR(VLOOKUP(A121,庫存!$A:$I,9,0),"")</f>
        <v/>
      </c>
    </row>
    <row r="122" spans="1:9" ht="23" customHeight="1" x14ac:dyDescent="0.35">
      <c r="A122" s="57"/>
      <c r="B122" s="34" t="str">
        <f>IFERROR(VLOOKUP(A122,庫存!$A:$I,2,0),"")</f>
        <v/>
      </c>
      <c r="C122" s="34" t="str">
        <f>IFERROR(VLOOKUP(A122,庫存!$A:$I,3,0),"")</f>
        <v/>
      </c>
      <c r="D122" s="54"/>
      <c r="E122" s="35" t="str">
        <f t="shared" si="2"/>
        <v/>
      </c>
      <c r="F122" s="45" t="str">
        <f>IFERROR(VLOOKUP(A122,庫存!$A:$I,4,0),"0")</f>
        <v>0</v>
      </c>
      <c r="G122" s="43" t="str">
        <f t="shared" si="3"/>
        <v/>
      </c>
      <c r="H122" s="24" t="str">
        <f>IFERROR(VLOOKUP(A122,庫存!$A:$I,8,0),"")</f>
        <v/>
      </c>
      <c r="I122" s="24" t="str">
        <f>IFERROR(VLOOKUP(A122,庫存!$A:$I,9,0),"")</f>
        <v/>
      </c>
    </row>
    <row r="123" spans="1:9" ht="23" customHeight="1" x14ac:dyDescent="0.35">
      <c r="A123" s="57"/>
      <c r="B123" s="34" t="str">
        <f>IFERROR(VLOOKUP(A123,庫存!$A:$I,2,0),"")</f>
        <v/>
      </c>
      <c r="C123" s="34" t="str">
        <f>IFERROR(VLOOKUP(A123,庫存!$A:$I,3,0),"")</f>
        <v/>
      </c>
      <c r="D123" s="54"/>
      <c r="E123" s="35" t="str">
        <f t="shared" si="2"/>
        <v/>
      </c>
      <c r="F123" s="45" t="str">
        <f>IFERROR(VLOOKUP(A123,庫存!$A:$I,4,0),"0")</f>
        <v>0</v>
      </c>
      <c r="G123" s="43" t="str">
        <f t="shared" si="3"/>
        <v/>
      </c>
      <c r="H123" s="24" t="str">
        <f>IFERROR(VLOOKUP(A123,庫存!$A:$I,8,0),"")</f>
        <v/>
      </c>
      <c r="I123" s="24" t="str">
        <f>IFERROR(VLOOKUP(A123,庫存!$A:$I,9,0),"")</f>
        <v/>
      </c>
    </row>
    <row r="124" spans="1:9" ht="23" customHeight="1" x14ac:dyDescent="0.35">
      <c r="A124" s="57"/>
      <c r="B124" s="34" t="str">
        <f>IFERROR(VLOOKUP(A124,庫存!$A:$I,2,0),"")</f>
        <v/>
      </c>
      <c r="C124" s="34" t="str">
        <f>IFERROR(VLOOKUP(A124,庫存!$A:$I,3,0),"")</f>
        <v/>
      </c>
      <c r="D124" s="54"/>
      <c r="E124" s="35" t="str">
        <f t="shared" si="2"/>
        <v/>
      </c>
      <c r="F124" s="45" t="str">
        <f>IFERROR(VLOOKUP(A124,庫存!$A:$I,4,0),"0")</f>
        <v>0</v>
      </c>
      <c r="G124" s="43" t="str">
        <f t="shared" si="3"/>
        <v/>
      </c>
      <c r="H124" s="24" t="str">
        <f>IFERROR(VLOOKUP(A124,庫存!$A:$I,8,0),"")</f>
        <v/>
      </c>
      <c r="I124" s="24" t="str">
        <f>IFERROR(VLOOKUP(A124,庫存!$A:$I,9,0),"")</f>
        <v/>
      </c>
    </row>
    <row r="125" spans="1:9" ht="23" customHeight="1" x14ac:dyDescent="0.35">
      <c r="A125" s="57"/>
      <c r="B125" s="34" t="str">
        <f>IFERROR(VLOOKUP(A125,庫存!$A:$I,2,0),"")</f>
        <v/>
      </c>
      <c r="C125" s="34" t="str">
        <f>IFERROR(VLOOKUP(A125,庫存!$A:$I,3,0),"")</f>
        <v/>
      </c>
      <c r="D125" s="54"/>
      <c r="E125" s="35" t="str">
        <f t="shared" si="2"/>
        <v/>
      </c>
      <c r="F125" s="45" t="str">
        <f>IFERROR(VLOOKUP(A125,庫存!$A:$I,4,0),"0")</f>
        <v>0</v>
      </c>
      <c r="G125" s="43" t="str">
        <f t="shared" si="3"/>
        <v/>
      </c>
      <c r="H125" s="24" t="str">
        <f>IFERROR(VLOOKUP(A125,庫存!$A:$I,8,0),"")</f>
        <v/>
      </c>
      <c r="I125" s="24" t="str">
        <f>IFERROR(VLOOKUP(A125,庫存!$A:$I,9,0),"")</f>
        <v/>
      </c>
    </row>
    <row r="126" spans="1:9" ht="23" customHeight="1" x14ac:dyDescent="0.35">
      <c r="A126" s="57"/>
      <c r="B126" s="34" t="str">
        <f>IFERROR(VLOOKUP(A126,庫存!$A:$I,2,0),"")</f>
        <v/>
      </c>
      <c r="C126" s="34" t="str">
        <f>IFERROR(VLOOKUP(A126,庫存!$A:$I,3,0),"")</f>
        <v/>
      </c>
      <c r="D126" s="54"/>
      <c r="E126" s="35" t="str">
        <f t="shared" si="2"/>
        <v/>
      </c>
      <c r="F126" s="45" t="str">
        <f>IFERROR(VLOOKUP(A126,庫存!$A:$I,4,0),"0")</f>
        <v>0</v>
      </c>
      <c r="G126" s="43" t="str">
        <f t="shared" si="3"/>
        <v/>
      </c>
      <c r="H126" s="24" t="str">
        <f>IFERROR(VLOOKUP(A126,庫存!$A:$I,8,0),"")</f>
        <v/>
      </c>
      <c r="I126" s="24" t="str">
        <f>IFERROR(VLOOKUP(A126,庫存!$A:$I,9,0),"")</f>
        <v/>
      </c>
    </row>
    <row r="127" spans="1:9" ht="23" customHeight="1" x14ac:dyDescent="0.35">
      <c r="A127" s="57"/>
      <c r="B127" s="34" t="str">
        <f>IFERROR(VLOOKUP(A127,庫存!$A:$I,2,0),"")</f>
        <v/>
      </c>
      <c r="C127" s="34" t="str">
        <f>IFERROR(VLOOKUP(A127,庫存!$A:$I,3,0),"")</f>
        <v/>
      </c>
      <c r="D127" s="54"/>
      <c r="E127" s="35" t="str">
        <f t="shared" si="2"/>
        <v/>
      </c>
      <c r="F127" s="45" t="str">
        <f>IFERROR(VLOOKUP(A127,庫存!$A:$I,4,0),"0")</f>
        <v>0</v>
      </c>
      <c r="G127" s="43" t="str">
        <f t="shared" si="3"/>
        <v/>
      </c>
      <c r="H127" s="24" t="str">
        <f>IFERROR(VLOOKUP(A127,庫存!$A:$I,8,0),"")</f>
        <v/>
      </c>
      <c r="I127" s="24" t="str">
        <f>IFERROR(VLOOKUP(A127,庫存!$A:$I,9,0),"")</f>
        <v/>
      </c>
    </row>
    <row r="128" spans="1:9" ht="23" customHeight="1" x14ac:dyDescent="0.35">
      <c r="A128" s="57"/>
      <c r="B128" s="34" t="str">
        <f>IFERROR(VLOOKUP(A128,庫存!$A:$I,2,0),"")</f>
        <v/>
      </c>
      <c r="C128" s="34" t="str">
        <f>IFERROR(VLOOKUP(A128,庫存!$A:$I,3,0),"")</f>
        <v/>
      </c>
      <c r="D128" s="54"/>
      <c r="E128" s="35" t="str">
        <f t="shared" si="2"/>
        <v/>
      </c>
      <c r="F128" s="45" t="str">
        <f>IFERROR(VLOOKUP(A128,庫存!$A:$I,4,0),"0")</f>
        <v>0</v>
      </c>
      <c r="G128" s="43" t="str">
        <f t="shared" si="3"/>
        <v/>
      </c>
      <c r="H128" s="24" t="str">
        <f>IFERROR(VLOOKUP(A128,庫存!$A:$I,8,0),"")</f>
        <v/>
      </c>
      <c r="I128" s="24" t="str">
        <f>IFERROR(VLOOKUP(A128,庫存!$A:$I,9,0),"")</f>
        <v/>
      </c>
    </row>
    <row r="129" spans="1:9" ht="23" customHeight="1" x14ac:dyDescent="0.35">
      <c r="A129" s="57"/>
      <c r="B129" s="34" t="str">
        <f>IFERROR(VLOOKUP(A129,庫存!$A:$I,2,0),"")</f>
        <v/>
      </c>
      <c r="C129" s="34" t="str">
        <f>IFERROR(VLOOKUP(A129,庫存!$A:$I,3,0),"")</f>
        <v/>
      </c>
      <c r="D129" s="54"/>
      <c r="E129" s="35" t="str">
        <f t="shared" si="2"/>
        <v/>
      </c>
      <c r="F129" s="45" t="str">
        <f>IFERROR(VLOOKUP(A129,庫存!$A:$I,4,0),"0")</f>
        <v>0</v>
      </c>
      <c r="G129" s="43" t="str">
        <f t="shared" si="3"/>
        <v/>
      </c>
      <c r="H129" s="24" t="str">
        <f>IFERROR(VLOOKUP(A129,庫存!$A:$I,8,0),"")</f>
        <v/>
      </c>
      <c r="I129" s="24" t="str">
        <f>IFERROR(VLOOKUP(A129,庫存!$A:$I,9,0),"")</f>
        <v/>
      </c>
    </row>
    <row r="130" spans="1:9" ht="23" customHeight="1" x14ac:dyDescent="0.35">
      <c r="A130" s="57"/>
      <c r="B130" s="34" t="str">
        <f>IFERROR(VLOOKUP(A130,庫存!$A:$I,2,0),"")</f>
        <v/>
      </c>
      <c r="C130" s="34" t="str">
        <f>IFERROR(VLOOKUP(A130,庫存!$A:$I,3,0),"")</f>
        <v/>
      </c>
      <c r="D130" s="54"/>
      <c r="E130" s="35" t="str">
        <f t="shared" ref="E130:E193" si="4">IF(D130*$E$1=0,"",D130*$E$1)</f>
        <v/>
      </c>
      <c r="F130" s="45" t="str">
        <f>IFERROR(VLOOKUP(A130,庫存!$A:$I,4,0),"0")</f>
        <v>0</v>
      </c>
      <c r="G130" s="43" t="str">
        <f t="shared" ref="G130:G193" si="5">IFERROR(F130-E130,"")</f>
        <v/>
      </c>
      <c r="H130" s="24" t="str">
        <f>IFERROR(VLOOKUP(A130,庫存!$A:$I,8,0),"")</f>
        <v/>
      </c>
      <c r="I130" s="24" t="str">
        <f>IFERROR(VLOOKUP(A130,庫存!$A:$I,9,0),"")</f>
        <v/>
      </c>
    </row>
    <row r="131" spans="1:9" ht="23" customHeight="1" x14ac:dyDescent="0.35">
      <c r="A131" s="57"/>
      <c r="B131" s="34" t="str">
        <f>IFERROR(VLOOKUP(A131,庫存!$A:$I,2,0),"")</f>
        <v/>
      </c>
      <c r="C131" s="34" t="str">
        <f>IFERROR(VLOOKUP(A131,庫存!$A:$I,3,0),"")</f>
        <v/>
      </c>
      <c r="D131" s="54"/>
      <c r="E131" s="35" t="str">
        <f t="shared" si="4"/>
        <v/>
      </c>
      <c r="F131" s="45" t="str">
        <f>IFERROR(VLOOKUP(A131,庫存!$A:$I,4,0),"0")</f>
        <v>0</v>
      </c>
      <c r="G131" s="43" t="str">
        <f t="shared" si="5"/>
        <v/>
      </c>
      <c r="H131" s="24" t="str">
        <f>IFERROR(VLOOKUP(A131,庫存!$A:$I,8,0),"")</f>
        <v/>
      </c>
      <c r="I131" s="24" t="str">
        <f>IFERROR(VLOOKUP(A131,庫存!$A:$I,9,0),"")</f>
        <v/>
      </c>
    </row>
    <row r="132" spans="1:9" ht="23" customHeight="1" x14ac:dyDescent="0.35">
      <c r="A132" s="57"/>
      <c r="B132" s="34" t="str">
        <f>IFERROR(VLOOKUP(A132,庫存!$A:$I,2,0),"")</f>
        <v/>
      </c>
      <c r="C132" s="34" t="str">
        <f>IFERROR(VLOOKUP(A132,庫存!$A:$I,3,0),"")</f>
        <v/>
      </c>
      <c r="D132" s="54"/>
      <c r="E132" s="35" t="str">
        <f t="shared" si="4"/>
        <v/>
      </c>
      <c r="F132" s="45" t="str">
        <f>IFERROR(VLOOKUP(A132,庫存!$A:$I,4,0),"0")</f>
        <v>0</v>
      </c>
      <c r="G132" s="43" t="str">
        <f t="shared" si="5"/>
        <v/>
      </c>
      <c r="H132" s="24" t="str">
        <f>IFERROR(VLOOKUP(A132,庫存!$A:$I,8,0),"")</f>
        <v/>
      </c>
      <c r="I132" s="24" t="str">
        <f>IFERROR(VLOOKUP(A132,庫存!$A:$I,9,0),"")</f>
        <v/>
      </c>
    </row>
    <row r="133" spans="1:9" ht="23" customHeight="1" x14ac:dyDescent="0.35">
      <c r="A133" s="57"/>
      <c r="B133" s="34" t="str">
        <f>IFERROR(VLOOKUP(A133,庫存!$A:$I,2,0),"")</f>
        <v/>
      </c>
      <c r="C133" s="34" t="str">
        <f>IFERROR(VLOOKUP(A133,庫存!$A:$I,3,0),"")</f>
        <v/>
      </c>
      <c r="D133" s="54"/>
      <c r="E133" s="35" t="str">
        <f t="shared" si="4"/>
        <v/>
      </c>
      <c r="F133" s="45" t="str">
        <f>IFERROR(VLOOKUP(A133,庫存!$A:$I,4,0),"0")</f>
        <v>0</v>
      </c>
      <c r="G133" s="43" t="str">
        <f t="shared" si="5"/>
        <v/>
      </c>
      <c r="H133" s="24" t="str">
        <f>IFERROR(VLOOKUP(A133,庫存!$A:$I,8,0),"")</f>
        <v/>
      </c>
      <c r="I133" s="24" t="str">
        <f>IFERROR(VLOOKUP(A133,庫存!$A:$I,9,0),"")</f>
        <v/>
      </c>
    </row>
    <row r="134" spans="1:9" ht="23" customHeight="1" x14ac:dyDescent="0.35">
      <c r="A134" s="57"/>
      <c r="B134" s="34" t="str">
        <f>IFERROR(VLOOKUP(A134,庫存!$A:$I,2,0),"")</f>
        <v/>
      </c>
      <c r="C134" s="34" t="str">
        <f>IFERROR(VLOOKUP(A134,庫存!$A:$I,3,0),"")</f>
        <v/>
      </c>
      <c r="D134" s="54"/>
      <c r="E134" s="35" t="str">
        <f t="shared" si="4"/>
        <v/>
      </c>
      <c r="F134" s="45" t="str">
        <f>IFERROR(VLOOKUP(A134,庫存!$A:$I,4,0),"0")</f>
        <v>0</v>
      </c>
      <c r="G134" s="43" t="str">
        <f t="shared" si="5"/>
        <v/>
      </c>
      <c r="H134" s="24" t="str">
        <f>IFERROR(VLOOKUP(A134,庫存!$A:$I,8,0),"")</f>
        <v/>
      </c>
      <c r="I134" s="24" t="str">
        <f>IFERROR(VLOOKUP(A134,庫存!$A:$I,9,0),"")</f>
        <v/>
      </c>
    </row>
    <row r="135" spans="1:9" ht="23" customHeight="1" x14ac:dyDescent="0.35">
      <c r="A135" s="57"/>
      <c r="B135" s="34" t="str">
        <f>IFERROR(VLOOKUP(A135,庫存!$A:$I,2,0),"")</f>
        <v/>
      </c>
      <c r="C135" s="34" t="str">
        <f>IFERROR(VLOOKUP(A135,庫存!$A:$I,3,0),"")</f>
        <v/>
      </c>
      <c r="D135" s="54"/>
      <c r="E135" s="35" t="str">
        <f t="shared" si="4"/>
        <v/>
      </c>
      <c r="F135" s="45" t="str">
        <f>IFERROR(VLOOKUP(A135,庫存!$A:$I,4,0),"0")</f>
        <v>0</v>
      </c>
      <c r="G135" s="43" t="str">
        <f t="shared" si="5"/>
        <v/>
      </c>
      <c r="H135" s="24" t="str">
        <f>IFERROR(VLOOKUP(A135,庫存!$A:$I,8,0),"")</f>
        <v/>
      </c>
      <c r="I135" s="24" t="str">
        <f>IFERROR(VLOOKUP(A135,庫存!$A:$I,9,0),"")</f>
        <v/>
      </c>
    </row>
    <row r="136" spans="1:9" ht="23" customHeight="1" x14ac:dyDescent="0.35">
      <c r="A136" s="57"/>
      <c r="B136" s="34" t="str">
        <f>IFERROR(VLOOKUP(A136,庫存!$A:$I,2,0),"")</f>
        <v/>
      </c>
      <c r="C136" s="34" t="str">
        <f>IFERROR(VLOOKUP(A136,庫存!$A:$I,3,0),"")</f>
        <v/>
      </c>
      <c r="D136" s="54"/>
      <c r="E136" s="35" t="str">
        <f t="shared" si="4"/>
        <v/>
      </c>
      <c r="F136" s="45" t="str">
        <f>IFERROR(VLOOKUP(A136,庫存!$A:$I,4,0),"0")</f>
        <v>0</v>
      </c>
      <c r="G136" s="43" t="str">
        <f t="shared" si="5"/>
        <v/>
      </c>
      <c r="H136" s="24" t="str">
        <f>IFERROR(VLOOKUP(A136,庫存!$A:$I,8,0),"")</f>
        <v/>
      </c>
      <c r="I136" s="24" t="str">
        <f>IFERROR(VLOOKUP(A136,庫存!$A:$I,9,0),"")</f>
        <v/>
      </c>
    </row>
    <row r="137" spans="1:9" ht="23" customHeight="1" x14ac:dyDescent="0.35">
      <c r="A137" s="57"/>
      <c r="B137" s="34" t="str">
        <f>IFERROR(VLOOKUP(A137,庫存!$A:$I,2,0),"")</f>
        <v/>
      </c>
      <c r="C137" s="34" t="str">
        <f>IFERROR(VLOOKUP(A137,庫存!$A:$I,3,0),"")</f>
        <v/>
      </c>
      <c r="D137" s="54"/>
      <c r="E137" s="35" t="str">
        <f t="shared" si="4"/>
        <v/>
      </c>
      <c r="F137" s="45" t="str">
        <f>IFERROR(VLOOKUP(A137,庫存!$A:$I,4,0),"0")</f>
        <v>0</v>
      </c>
      <c r="G137" s="43" t="str">
        <f t="shared" si="5"/>
        <v/>
      </c>
      <c r="H137" s="24" t="str">
        <f>IFERROR(VLOOKUP(A137,庫存!$A:$I,8,0),"")</f>
        <v/>
      </c>
      <c r="I137" s="24" t="str">
        <f>IFERROR(VLOOKUP(A137,庫存!$A:$I,9,0),"")</f>
        <v/>
      </c>
    </row>
    <row r="138" spans="1:9" ht="23" customHeight="1" x14ac:dyDescent="0.35">
      <c r="A138" s="57"/>
      <c r="B138" s="34" t="str">
        <f>IFERROR(VLOOKUP(A138,庫存!$A:$I,2,0),"")</f>
        <v/>
      </c>
      <c r="C138" s="34" t="str">
        <f>IFERROR(VLOOKUP(A138,庫存!$A:$I,3,0),"")</f>
        <v/>
      </c>
      <c r="D138" s="54"/>
      <c r="E138" s="35" t="str">
        <f t="shared" si="4"/>
        <v/>
      </c>
      <c r="F138" s="45" t="str">
        <f>IFERROR(VLOOKUP(A138,庫存!$A:$I,4,0),"0")</f>
        <v>0</v>
      </c>
      <c r="G138" s="43" t="str">
        <f t="shared" si="5"/>
        <v/>
      </c>
      <c r="H138" s="24" t="str">
        <f>IFERROR(VLOOKUP(A138,庫存!$A:$I,8,0),"")</f>
        <v/>
      </c>
      <c r="I138" s="24" t="str">
        <f>IFERROR(VLOOKUP(A138,庫存!$A:$I,9,0),"")</f>
        <v/>
      </c>
    </row>
    <row r="139" spans="1:9" ht="23" customHeight="1" x14ac:dyDescent="0.35">
      <c r="A139" s="57"/>
      <c r="B139" s="34" t="str">
        <f>IFERROR(VLOOKUP(A139,庫存!$A:$I,2,0),"")</f>
        <v/>
      </c>
      <c r="C139" s="34" t="str">
        <f>IFERROR(VLOOKUP(A139,庫存!$A:$I,3,0),"")</f>
        <v/>
      </c>
      <c r="D139" s="54"/>
      <c r="E139" s="35" t="str">
        <f t="shared" si="4"/>
        <v/>
      </c>
      <c r="F139" s="45" t="str">
        <f>IFERROR(VLOOKUP(A139,庫存!$A:$I,4,0),"0")</f>
        <v>0</v>
      </c>
      <c r="G139" s="43" t="str">
        <f t="shared" si="5"/>
        <v/>
      </c>
      <c r="H139" s="24" t="str">
        <f>IFERROR(VLOOKUP(A139,庫存!$A:$I,8,0),"")</f>
        <v/>
      </c>
      <c r="I139" s="24" t="str">
        <f>IFERROR(VLOOKUP(A139,庫存!$A:$I,9,0),"")</f>
        <v/>
      </c>
    </row>
    <row r="140" spans="1:9" ht="23" customHeight="1" x14ac:dyDescent="0.35">
      <c r="A140" s="57"/>
      <c r="B140" s="34" t="str">
        <f>IFERROR(VLOOKUP(A140,庫存!$A:$I,2,0),"")</f>
        <v/>
      </c>
      <c r="C140" s="34" t="str">
        <f>IFERROR(VLOOKUP(A140,庫存!$A:$I,3,0),"")</f>
        <v/>
      </c>
      <c r="D140" s="54"/>
      <c r="E140" s="35" t="str">
        <f t="shared" si="4"/>
        <v/>
      </c>
      <c r="F140" s="45" t="str">
        <f>IFERROR(VLOOKUP(A140,庫存!$A:$I,4,0),"0")</f>
        <v>0</v>
      </c>
      <c r="G140" s="43" t="str">
        <f t="shared" si="5"/>
        <v/>
      </c>
      <c r="H140" s="24" t="str">
        <f>IFERROR(VLOOKUP(A140,庫存!$A:$I,8,0),"")</f>
        <v/>
      </c>
      <c r="I140" s="24" t="str">
        <f>IFERROR(VLOOKUP(A140,庫存!$A:$I,9,0),"")</f>
        <v/>
      </c>
    </row>
    <row r="141" spans="1:9" ht="23" customHeight="1" x14ac:dyDescent="0.35">
      <c r="A141" s="57"/>
      <c r="B141" s="34" t="str">
        <f>IFERROR(VLOOKUP(A141,庫存!$A:$I,2,0),"")</f>
        <v/>
      </c>
      <c r="C141" s="34" t="str">
        <f>IFERROR(VLOOKUP(A141,庫存!$A:$I,3,0),"")</f>
        <v/>
      </c>
      <c r="D141" s="54"/>
      <c r="E141" s="35" t="str">
        <f t="shared" si="4"/>
        <v/>
      </c>
      <c r="F141" s="45" t="str">
        <f>IFERROR(VLOOKUP(A141,庫存!$A:$I,4,0),"0")</f>
        <v>0</v>
      </c>
      <c r="G141" s="43" t="str">
        <f t="shared" si="5"/>
        <v/>
      </c>
      <c r="H141" s="24" t="str">
        <f>IFERROR(VLOOKUP(A141,庫存!$A:$I,8,0),"")</f>
        <v/>
      </c>
      <c r="I141" s="24" t="str">
        <f>IFERROR(VLOOKUP(A141,庫存!$A:$I,9,0),"")</f>
        <v/>
      </c>
    </row>
    <row r="142" spans="1:9" ht="23" customHeight="1" x14ac:dyDescent="0.35">
      <c r="A142" s="57"/>
      <c r="B142" s="34" t="str">
        <f>IFERROR(VLOOKUP(A142,庫存!$A:$I,2,0),"")</f>
        <v/>
      </c>
      <c r="C142" s="34" t="str">
        <f>IFERROR(VLOOKUP(A142,庫存!$A:$I,3,0),"")</f>
        <v/>
      </c>
      <c r="D142" s="54"/>
      <c r="E142" s="35" t="str">
        <f t="shared" si="4"/>
        <v/>
      </c>
      <c r="F142" s="45" t="str">
        <f>IFERROR(VLOOKUP(A142,庫存!$A:$I,4,0),"0")</f>
        <v>0</v>
      </c>
      <c r="G142" s="43" t="str">
        <f t="shared" si="5"/>
        <v/>
      </c>
      <c r="H142" s="24" t="str">
        <f>IFERROR(VLOOKUP(A142,庫存!$A:$I,8,0),"")</f>
        <v/>
      </c>
      <c r="I142" s="24" t="str">
        <f>IFERROR(VLOOKUP(A142,庫存!$A:$I,9,0),"")</f>
        <v/>
      </c>
    </row>
    <row r="143" spans="1:9" ht="23" customHeight="1" x14ac:dyDescent="0.35">
      <c r="A143" s="57"/>
      <c r="B143" s="34" t="str">
        <f>IFERROR(VLOOKUP(A143,庫存!$A:$I,2,0),"")</f>
        <v/>
      </c>
      <c r="C143" s="34" t="str">
        <f>IFERROR(VLOOKUP(A143,庫存!$A:$I,3,0),"")</f>
        <v/>
      </c>
      <c r="D143" s="54"/>
      <c r="E143" s="35" t="str">
        <f t="shared" si="4"/>
        <v/>
      </c>
      <c r="F143" s="45" t="str">
        <f>IFERROR(VLOOKUP(A143,庫存!$A:$I,4,0),"0")</f>
        <v>0</v>
      </c>
      <c r="G143" s="43" t="str">
        <f t="shared" si="5"/>
        <v/>
      </c>
      <c r="H143" s="24" t="str">
        <f>IFERROR(VLOOKUP(A143,庫存!$A:$I,8,0),"")</f>
        <v/>
      </c>
      <c r="I143" s="24" t="str">
        <f>IFERROR(VLOOKUP(A143,庫存!$A:$I,9,0),"")</f>
        <v/>
      </c>
    </row>
    <row r="144" spans="1:9" ht="23" customHeight="1" x14ac:dyDescent="0.35">
      <c r="A144" s="57"/>
      <c r="B144" s="34" t="str">
        <f>IFERROR(VLOOKUP(A144,庫存!$A:$I,2,0),"")</f>
        <v/>
      </c>
      <c r="C144" s="34" t="str">
        <f>IFERROR(VLOOKUP(A144,庫存!$A:$I,3,0),"")</f>
        <v/>
      </c>
      <c r="D144" s="54"/>
      <c r="E144" s="35" t="str">
        <f t="shared" si="4"/>
        <v/>
      </c>
      <c r="F144" s="45" t="str">
        <f>IFERROR(VLOOKUP(A144,庫存!$A:$I,4,0),"0")</f>
        <v>0</v>
      </c>
      <c r="G144" s="43" t="str">
        <f t="shared" si="5"/>
        <v/>
      </c>
      <c r="H144" s="24" t="str">
        <f>IFERROR(VLOOKUP(A144,庫存!$A:$I,8,0),"")</f>
        <v/>
      </c>
      <c r="I144" s="24" t="str">
        <f>IFERROR(VLOOKUP(A144,庫存!$A:$I,9,0),"")</f>
        <v/>
      </c>
    </row>
    <row r="145" spans="1:9" ht="23" customHeight="1" x14ac:dyDescent="0.35">
      <c r="A145" s="57"/>
      <c r="B145" s="34" t="str">
        <f>IFERROR(VLOOKUP(A145,庫存!$A:$I,2,0),"")</f>
        <v/>
      </c>
      <c r="C145" s="34" t="str">
        <f>IFERROR(VLOOKUP(A145,庫存!$A:$I,3,0),"")</f>
        <v/>
      </c>
      <c r="D145" s="54"/>
      <c r="E145" s="35" t="str">
        <f t="shared" si="4"/>
        <v/>
      </c>
      <c r="F145" s="45" t="str">
        <f>IFERROR(VLOOKUP(A145,庫存!$A:$I,4,0),"0")</f>
        <v>0</v>
      </c>
      <c r="G145" s="43" t="str">
        <f t="shared" si="5"/>
        <v/>
      </c>
      <c r="H145" s="24" t="str">
        <f>IFERROR(VLOOKUP(A145,庫存!$A:$I,8,0),"")</f>
        <v/>
      </c>
      <c r="I145" s="24" t="str">
        <f>IFERROR(VLOOKUP(A145,庫存!$A:$I,9,0),"")</f>
        <v/>
      </c>
    </row>
    <row r="146" spans="1:9" ht="23" customHeight="1" x14ac:dyDescent="0.35">
      <c r="A146" s="57"/>
      <c r="B146" s="34" t="str">
        <f>IFERROR(VLOOKUP(A146,庫存!$A:$I,2,0),"")</f>
        <v/>
      </c>
      <c r="C146" s="34" t="str">
        <f>IFERROR(VLOOKUP(A146,庫存!$A:$I,3,0),"")</f>
        <v/>
      </c>
      <c r="D146" s="54"/>
      <c r="E146" s="35" t="str">
        <f t="shared" si="4"/>
        <v/>
      </c>
      <c r="F146" s="45" t="str">
        <f>IFERROR(VLOOKUP(A146,庫存!$A:$I,4,0),"0")</f>
        <v>0</v>
      </c>
      <c r="G146" s="43" t="str">
        <f t="shared" si="5"/>
        <v/>
      </c>
      <c r="H146" s="24" t="str">
        <f>IFERROR(VLOOKUP(A146,庫存!$A:$I,8,0),"")</f>
        <v/>
      </c>
      <c r="I146" s="24" t="str">
        <f>IFERROR(VLOOKUP(A146,庫存!$A:$I,9,0),"")</f>
        <v/>
      </c>
    </row>
    <row r="147" spans="1:9" ht="23" customHeight="1" x14ac:dyDescent="0.35">
      <c r="A147" s="57"/>
      <c r="B147" s="34" t="str">
        <f>IFERROR(VLOOKUP(A147,庫存!$A:$I,2,0),"")</f>
        <v/>
      </c>
      <c r="C147" s="34" t="str">
        <f>IFERROR(VLOOKUP(A147,庫存!$A:$I,3,0),"")</f>
        <v/>
      </c>
      <c r="D147" s="54"/>
      <c r="E147" s="35" t="str">
        <f t="shared" si="4"/>
        <v/>
      </c>
      <c r="F147" s="45" t="str">
        <f>IFERROR(VLOOKUP(A147,庫存!$A:$I,4,0),"0")</f>
        <v>0</v>
      </c>
      <c r="G147" s="43" t="str">
        <f t="shared" si="5"/>
        <v/>
      </c>
      <c r="H147" s="24" t="str">
        <f>IFERROR(VLOOKUP(A147,庫存!$A:$I,8,0),"")</f>
        <v/>
      </c>
      <c r="I147" s="24" t="str">
        <f>IFERROR(VLOOKUP(A147,庫存!$A:$I,9,0),"")</f>
        <v/>
      </c>
    </row>
    <row r="148" spans="1:9" ht="23" customHeight="1" x14ac:dyDescent="0.35">
      <c r="A148" s="57"/>
      <c r="B148" s="34" t="str">
        <f>IFERROR(VLOOKUP(A148,庫存!$A:$I,2,0),"")</f>
        <v/>
      </c>
      <c r="C148" s="34" t="str">
        <f>IFERROR(VLOOKUP(A148,庫存!$A:$I,3,0),"")</f>
        <v/>
      </c>
      <c r="D148" s="54"/>
      <c r="E148" s="35" t="str">
        <f t="shared" si="4"/>
        <v/>
      </c>
      <c r="F148" s="45" t="str">
        <f>IFERROR(VLOOKUP(A148,庫存!$A:$I,4,0),"0")</f>
        <v>0</v>
      </c>
      <c r="G148" s="43" t="str">
        <f t="shared" si="5"/>
        <v/>
      </c>
      <c r="H148" s="24" t="str">
        <f>IFERROR(VLOOKUP(A148,庫存!$A:$I,8,0),"")</f>
        <v/>
      </c>
      <c r="I148" s="24" t="str">
        <f>IFERROR(VLOOKUP(A148,庫存!$A:$I,9,0),"")</f>
        <v/>
      </c>
    </row>
    <row r="149" spans="1:9" ht="23" customHeight="1" x14ac:dyDescent="0.35">
      <c r="A149" s="57"/>
      <c r="B149" s="34" t="str">
        <f>IFERROR(VLOOKUP(A149,庫存!$A:$I,2,0),"")</f>
        <v/>
      </c>
      <c r="C149" s="34" t="str">
        <f>IFERROR(VLOOKUP(A149,庫存!$A:$I,3,0),"")</f>
        <v/>
      </c>
      <c r="D149" s="54"/>
      <c r="E149" s="35" t="str">
        <f t="shared" si="4"/>
        <v/>
      </c>
      <c r="F149" s="45" t="str">
        <f>IFERROR(VLOOKUP(A149,庫存!$A:$I,4,0),"0")</f>
        <v>0</v>
      </c>
      <c r="G149" s="43" t="str">
        <f t="shared" si="5"/>
        <v/>
      </c>
      <c r="H149" s="24" t="str">
        <f>IFERROR(VLOOKUP(A149,庫存!$A:$I,8,0),"")</f>
        <v/>
      </c>
      <c r="I149" s="24" t="str">
        <f>IFERROR(VLOOKUP(A149,庫存!$A:$I,9,0),"")</f>
        <v/>
      </c>
    </row>
    <row r="150" spans="1:9" ht="23" customHeight="1" x14ac:dyDescent="0.35">
      <c r="A150" s="57"/>
      <c r="B150" s="34" t="str">
        <f>IFERROR(VLOOKUP(A150,庫存!$A:$I,2,0),"")</f>
        <v/>
      </c>
      <c r="C150" s="34" t="str">
        <f>IFERROR(VLOOKUP(A150,庫存!$A:$I,3,0),"")</f>
        <v/>
      </c>
      <c r="D150" s="54"/>
      <c r="E150" s="35" t="str">
        <f t="shared" si="4"/>
        <v/>
      </c>
      <c r="F150" s="45" t="str">
        <f>IFERROR(VLOOKUP(A150,庫存!$A:$I,4,0),"0")</f>
        <v>0</v>
      </c>
      <c r="G150" s="43" t="str">
        <f t="shared" si="5"/>
        <v/>
      </c>
      <c r="H150" s="24" t="str">
        <f>IFERROR(VLOOKUP(A150,庫存!$A:$I,8,0),"")</f>
        <v/>
      </c>
      <c r="I150" s="24" t="str">
        <f>IFERROR(VLOOKUP(A150,庫存!$A:$I,9,0),"")</f>
        <v/>
      </c>
    </row>
    <row r="151" spans="1:9" ht="23" customHeight="1" x14ac:dyDescent="0.35">
      <c r="A151" s="57"/>
      <c r="B151" s="34" t="str">
        <f>IFERROR(VLOOKUP(A151,庫存!$A:$I,2,0),"")</f>
        <v/>
      </c>
      <c r="C151" s="34" t="str">
        <f>IFERROR(VLOOKUP(A151,庫存!$A:$I,3,0),"")</f>
        <v/>
      </c>
      <c r="D151" s="54"/>
      <c r="E151" s="35" t="str">
        <f t="shared" si="4"/>
        <v/>
      </c>
      <c r="F151" s="45" t="str">
        <f>IFERROR(VLOOKUP(A151,庫存!$A:$I,4,0),"0")</f>
        <v>0</v>
      </c>
      <c r="G151" s="43" t="str">
        <f t="shared" si="5"/>
        <v/>
      </c>
      <c r="H151" s="24" t="str">
        <f>IFERROR(VLOOKUP(A151,庫存!$A:$I,8,0),"")</f>
        <v/>
      </c>
      <c r="I151" s="24" t="str">
        <f>IFERROR(VLOOKUP(A151,庫存!$A:$I,9,0),"")</f>
        <v/>
      </c>
    </row>
    <row r="152" spans="1:9" ht="23" customHeight="1" x14ac:dyDescent="0.35">
      <c r="A152" s="57"/>
      <c r="B152" s="34" t="str">
        <f>IFERROR(VLOOKUP(A152,庫存!$A:$I,2,0),"")</f>
        <v/>
      </c>
      <c r="C152" s="34" t="str">
        <f>IFERROR(VLOOKUP(A152,庫存!$A:$I,3,0),"")</f>
        <v/>
      </c>
      <c r="D152" s="54"/>
      <c r="E152" s="35" t="str">
        <f t="shared" si="4"/>
        <v/>
      </c>
      <c r="F152" s="45" t="str">
        <f>IFERROR(VLOOKUP(A152,庫存!$A:$I,4,0),"0")</f>
        <v>0</v>
      </c>
      <c r="G152" s="43" t="str">
        <f t="shared" si="5"/>
        <v/>
      </c>
      <c r="H152" s="24" t="str">
        <f>IFERROR(VLOOKUP(A152,庫存!$A:$I,8,0),"")</f>
        <v/>
      </c>
      <c r="I152" s="24" t="str">
        <f>IFERROR(VLOOKUP(A152,庫存!$A:$I,9,0),"")</f>
        <v/>
      </c>
    </row>
    <row r="153" spans="1:9" ht="23" customHeight="1" x14ac:dyDescent="0.35">
      <c r="A153" s="57"/>
      <c r="B153" s="34" t="str">
        <f>IFERROR(VLOOKUP(A153,庫存!$A:$I,2,0),"")</f>
        <v/>
      </c>
      <c r="C153" s="34" t="str">
        <f>IFERROR(VLOOKUP(A153,庫存!$A:$I,3,0),"")</f>
        <v/>
      </c>
      <c r="D153" s="54"/>
      <c r="E153" s="35" t="str">
        <f t="shared" si="4"/>
        <v/>
      </c>
      <c r="F153" s="45" t="str">
        <f>IFERROR(VLOOKUP(A153,庫存!$A:$I,4,0),"0")</f>
        <v>0</v>
      </c>
      <c r="G153" s="43" t="str">
        <f t="shared" si="5"/>
        <v/>
      </c>
      <c r="H153" s="24" t="str">
        <f>IFERROR(VLOOKUP(A153,庫存!$A:$I,8,0),"")</f>
        <v/>
      </c>
      <c r="I153" s="24" t="str">
        <f>IFERROR(VLOOKUP(A153,庫存!$A:$I,9,0),"")</f>
        <v/>
      </c>
    </row>
    <row r="154" spans="1:9" ht="23" customHeight="1" x14ac:dyDescent="0.35">
      <c r="A154" s="57"/>
      <c r="B154" s="34" t="str">
        <f>IFERROR(VLOOKUP(A154,庫存!$A:$I,2,0),"")</f>
        <v/>
      </c>
      <c r="C154" s="34" t="str">
        <f>IFERROR(VLOOKUP(A154,庫存!$A:$I,3,0),"")</f>
        <v/>
      </c>
      <c r="D154" s="54"/>
      <c r="E154" s="35" t="str">
        <f t="shared" si="4"/>
        <v/>
      </c>
      <c r="F154" s="45" t="str">
        <f>IFERROR(VLOOKUP(A154,庫存!$A:$I,4,0),"0")</f>
        <v>0</v>
      </c>
      <c r="G154" s="43" t="str">
        <f t="shared" si="5"/>
        <v/>
      </c>
      <c r="H154" s="24" t="str">
        <f>IFERROR(VLOOKUP(A154,庫存!$A:$I,8,0),"")</f>
        <v/>
      </c>
      <c r="I154" s="24" t="str">
        <f>IFERROR(VLOOKUP(A154,庫存!$A:$I,9,0),"")</f>
        <v/>
      </c>
    </row>
    <row r="155" spans="1:9" ht="23" customHeight="1" x14ac:dyDescent="0.35">
      <c r="A155" s="57"/>
      <c r="B155" s="34" t="str">
        <f>IFERROR(VLOOKUP(A155,庫存!$A:$I,2,0),"")</f>
        <v/>
      </c>
      <c r="C155" s="34" t="str">
        <f>IFERROR(VLOOKUP(A155,庫存!$A:$I,3,0),"")</f>
        <v/>
      </c>
      <c r="D155" s="54"/>
      <c r="E155" s="35" t="str">
        <f t="shared" si="4"/>
        <v/>
      </c>
      <c r="F155" s="45" t="str">
        <f>IFERROR(VLOOKUP(A155,庫存!$A:$I,4,0),"0")</f>
        <v>0</v>
      </c>
      <c r="G155" s="43" t="str">
        <f t="shared" si="5"/>
        <v/>
      </c>
      <c r="H155" s="24" t="str">
        <f>IFERROR(VLOOKUP(A155,庫存!$A:$I,8,0),"")</f>
        <v/>
      </c>
      <c r="I155" s="24" t="str">
        <f>IFERROR(VLOOKUP(A155,庫存!$A:$I,9,0),"")</f>
        <v/>
      </c>
    </row>
    <row r="156" spans="1:9" ht="23" customHeight="1" x14ac:dyDescent="0.35">
      <c r="A156" s="57"/>
      <c r="B156" s="34" t="str">
        <f>IFERROR(VLOOKUP(A156,庫存!$A:$I,2,0),"")</f>
        <v/>
      </c>
      <c r="C156" s="34" t="str">
        <f>IFERROR(VLOOKUP(A156,庫存!$A:$I,3,0),"")</f>
        <v/>
      </c>
      <c r="D156" s="54"/>
      <c r="E156" s="35" t="str">
        <f t="shared" si="4"/>
        <v/>
      </c>
      <c r="F156" s="45" t="str">
        <f>IFERROR(VLOOKUP(A156,庫存!$A:$I,4,0),"0")</f>
        <v>0</v>
      </c>
      <c r="G156" s="43" t="str">
        <f t="shared" si="5"/>
        <v/>
      </c>
      <c r="H156" s="24" t="str">
        <f>IFERROR(VLOOKUP(A156,庫存!$A:$I,8,0),"")</f>
        <v/>
      </c>
      <c r="I156" s="24" t="str">
        <f>IFERROR(VLOOKUP(A156,庫存!$A:$I,9,0),"")</f>
        <v/>
      </c>
    </row>
    <row r="157" spans="1:9" ht="23" customHeight="1" x14ac:dyDescent="0.35">
      <c r="A157" s="57"/>
      <c r="B157" s="34" t="str">
        <f>IFERROR(VLOOKUP(A157,庫存!$A:$I,2,0),"")</f>
        <v/>
      </c>
      <c r="C157" s="34" t="str">
        <f>IFERROR(VLOOKUP(A157,庫存!$A:$I,3,0),"")</f>
        <v/>
      </c>
      <c r="D157" s="54"/>
      <c r="E157" s="35" t="str">
        <f t="shared" si="4"/>
        <v/>
      </c>
      <c r="F157" s="45" t="str">
        <f>IFERROR(VLOOKUP(A157,庫存!$A:$I,4,0),"0")</f>
        <v>0</v>
      </c>
      <c r="G157" s="43" t="str">
        <f t="shared" si="5"/>
        <v/>
      </c>
      <c r="H157" s="24" t="str">
        <f>IFERROR(VLOOKUP(A157,庫存!$A:$I,8,0),"")</f>
        <v/>
      </c>
      <c r="I157" s="24" t="str">
        <f>IFERROR(VLOOKUP(A157,庫存!$A:$I,9,0),"")</f>
        <v/>
      </c>
    </row>
    <row r="158" spans="1:9" ht="23" customHeight="1" x14ac:dyDescent="0.35">
      <c r="A158" s="57"/>
      <c r="B158" s="34" t="str">
        <f>IFERROR(VLOOKUP(A158,庫存!$A:$I,2,0),"")</f>
        <v/>
      </c>
      <c r="C158" s="34" t="str">
        <f>IFERROR(VLOOKUP(A158,庫存!$A:$I,3,0),"")</f>
        <v/>
      </c>
      <c r="D158" s="54"/>
      <c r="E158" s="35" t="str">
        <f t="shared" si="4"/>
        <v/>
      </c>
      <c r="F158" s="45" t="str">
        <f>IFERROR(VLOOKUP(A158,庫存!$A:$I,4,0),"0")</f>
        <v>0</v>
      </c>
      <c r="G158" s="43" t="str">
        <f t="shared" si="5"/>
        <v/>
      </c>
      <c r="H158" s="24" t="str">
        <f>IFERROR(VLOOKUP(A158,庫存!$A:$I,8,0),"")</f>
        <v/>
      </c>
      <c r="I158" s="24" t="str">
        <f>IFERROR(VLOOKUP(A158,庫存!$A:$I,9,0),"")</f>
        <v/>
      </c>
    </row>
    <row r="159" spans="1:9" ht="23" customHeight="1" x14ac:dyDescent="0.35">
      <c r="A159" s="57"/>
      <c r="B159" s="34" t="str">
        <f>IFERROR(VLOOKUP(A159,庫存!$A:$I,2,0),"")</f>
        <v/>
      </c>
      <c r="C159" s="34" t="str">
        <f>IFERROR(VLOOKUP(A159,庫存!$A:$I,3,0),"")</f>
        <v/>
      </c>
      <c r="D159" s="54"/>
      <c r="E159" s="35" t="str">
        <f t="shared" si="4"/>
        <v/>
      </c>
      <c r="F159" s="45" t="str">
        <f>IFERROR(VLOOKUP(A159,庫存!$A:$I,4,0),"0")</f>
        <v>0</v>
      </c>
      <c r="G159" s="43" t="str">
        <f t="shared" si="5"/>
        <v/>
      </c>
      <c r="H159" s="24" t="str">
        <f>IFERROR(VLOOKUP(A159,庫存!$A:$I,8,0),"")</f>
        <v/>
      </c>
      <c r="I159" s="24" t="str">
        <f>IFERROR(VLOOKUP(A159,庫存!$A:$I,9,0),"")</f>
        <v/>
      </c>
    </row>
    <row r="160" spans="1:9" ht="23" customHeight="1" x14ac:dyDescent="0.35">
      <c r="A160" s="57"/>
      <c r="B160" s="34" t="str">
        <f>IFERROR(VLOOKUP(A160,庫存!$A:$I,2,0),"")</f>
        <v/>
      </c>
      <c r="C160" s="34" t="str">
        <f>IFERROR(VLOOKUP(A160,庫存!$A:$I,3,0),"")</f>
        <v/>
      </c>
      <c r="D160" s="54"/>
      <c r="E160" s="35" t="str">
        <f t="shared" si="4"/>
        <v/>
      </c>
      <c r="F160" s="45" t="str">
        <f>IFERROR(VLOOKUP(A160,庫存!$A:$I,4,0),"0")</f>
        <v>0</v>
      </c>
      <c r="G160" s="43" t="str">
        <f t="shared" si="5"/>
        <v/>
      </c>
      <c r="H160" s="24" t="str">
        <f>IFERROR(VLOOKUP(A160,庫存!$A:$I,8,0),"")</f>
        <v/>
      </c>
      <c r="I160" s="24" t="str">
        <f>IFERROR(VLOOKUP(A160,庫存!$A:$I,9,0),"")</f>
        <v/>
      </c>
    </row>
    <row r="161" spans="1:9" ht="23" customHeight="1" x14ac:dyDescent="0.35">
      <c r="A161" s="57"/>
      <c r="B161" s="34" t="str">
        <f>IFERROR(VLOOKUP(A161,庫存!$A:$I,2,0),"")</f>
        <v/>
      </c>
      <c r="C161" s="34" t="str">
        <f>IFERROR(VLOOKUP(A161,庫存!$A:$I,3,0),"")</f>
        <v/>
      </c>
      <c r="D161" s="54"/>
      <c r="E161" s="35" t="str">
        <f t="shared" si="4"/>
        <v/>
      </c>
      <c r="F161" s="45" t="str">
        <f>IFERROR(VLOOKUP(A161,庫存!$A:$I,4,0),"0")</f>
        <v>0</v>
      </c>
      <c r="G161" s="43" t="str">
        <f t="shared" si="5"/>
        <v/>
      </c>
      <c r="H161" s="24" t="str">
        <f>IFERROR(VLOOKUP(A161,庫存!$A:$I,8,0),"")</f>
        <v/>
      </c>
      <c r="I161" s="24" t="str">
        <f>IFERROR(VLOOKUP(A161,庫存!$A:$I,9,0),"")</f>
        <v/>
      </c>
    </row>
    <row r="162" spans="1:9" ht="23" customHeight="1" x14ac:dyDescent="0.35">
      <c r="A162" s="57"/>
      <c r="B162" s="34" t="str">
        <f>IFERROR(VLOOKUP(A162,庫存!$A:$I,2,0),"")</f>
        <v/>
      </c>
      <c r="C162" s="34" t="str">
        <f>IFERROR(VLOOKUP(A162,庫存!$A:$I,3,0),"")</f>
        <v/>
      </c>
      <c r="D162" s="54"/>
      <c r="E162" s="35" t="str">
        <f t="shared" si="4"/>
        <v/>
      </c>
      <c r="F162" s="45" t="str">
        <f>IFERROR(VLOOKUP(A162,庫存!$A:$I,4,0),"0")</f>
        <v>0</v>
      </c>
      <c r="G162" s="43" t="str">
        <f t="shared" si="5"/>
        <v/>
      </c>
      <c r="H162" s="24" t="str">
        <f>IFERROR(VLOOKUP(A162,庫存!$A:$I,8,0),"")</f>
        <v/>
      </c>
      <c r="I162" s="24" t="str">
        <f>IFERROR(VLOOKUP(A162,庫存!$A:$I,9,0),"")</f>
        <v/>
      </c>
    </row>
    <row r="163" spans="1:9" ht="23" customHeight="1" x14ac:dyDescent="0.35">
      <c r="A163" s="57"/>
      <c r="B163" s="34" t="str">
        <f>IFERROR(VLOOKUP(A163,庫存!$A:$I,2,0),"")</f>
        <v/>
      </c>
      <c r="C163" s="34" t="str">
        <f>IFERROR(VLOOKUP(A163,庫存!$A:$I,3,0),"")</f>
        <v/>
      </c>
      <c r="D163" s="54"/>
      <c r="E163" s="35" t="str">
        <f t="shared" si="4"/>
        <v/>
      </c>
      <c r="F163" s="45" t="str">
        <f>IFERROR(VLOOKUP(A163,庫存!$A:$I,4,0),"0")</f>
        <v>0</v>
      </c>
      <c r="G163" s="43" t="str">
        <f t="shared" si="5"/>
        <v/>
      </c>
      <c r="H163" s="24" t="str">
        <f>IFERROR(VLOOKUP(A163,庫存!$A:$I,8,0),"")</f>
        <v/>
      </c>
      <c r="I163" s="24" t="str">
        <f>IFERROR(VLOOKUP(A163,庫存!$A:$I,9,0),"")</f>
        <v/>
      </c>
    </row>
    <row r="164" spans="1:9" ht="23" customHeight="1" x14ac:dyDescent="0.35">
      <c r="A164" s="57"/>
      <c r="B164" s="34" t="str">
        <f>IFERROR(VLOOKUP(A164,庫存!$A:$I,2,0),"")</f>
        <v/>
      </c>
      <c r="C164" s="34" t="str">
        <f>IFERROR(VLOOKUP(A164,庫存!$A:$I,3,0),"")</f>
        <v/>
      </c>
      <c r="D164" s="54"/>
      <c r="E164" s="35" t="str">
        <f t="shared" si="4"/>
        <v/>
      </c>
      <c r="F164" s="45" t="str">
        <f>IFERROR(VLOOKUP(A164,庫存!$A:$I,4,0),"0")</f>
        <v>0</v>
      </c>
      <c r="G164" s="43" t="str">
        <f t="shared" si="5"/>
        <v/>
      </c>
      <c r="H164" s="24" t="str">
        <f>IFERROR(VLOOKUP(A164,庫存!$A:$I,8,0),"")</f>
        <v/>
      </c>
      <c r="I164" s="24" t="str">
        <f>IFERROR(VLOOKUP(A164,庫存!$A:$I,9,0),"")</f>
        <v/>
      </c>
    </row>
    <row r="165" spans="1:9" ht="23" customHeight="1" x14ac:dyDescent="0.35">
      <c r="A165" s="57"/>
      <c r="B165" s="34" t="str">
        <f>IFERROR(VLOOKUP(A165,庫存!$A:$I,2,0),"")</f>
        <v/>
      </c>
      <c r="C165" s="34" t="str">
        <f>IFERROR(VLOOKUP(A165,庫存!$A:$I,3,0),"")</f>
        <v/>
      </c>
      <c r="D165" s="54"/>
      <c r="E165" s="35" t="str">
        <f t="shared" si="4"/>
        <v/>
      </c>
      <c r="F165" s="45" t="str">
        <f>IFERROR(VLOOKUP(A165,庫存!$A:$I,4,0),"0")</f>
        <v>0</v>
      </c>
      <c r="G165" s="43" t="str">
        <f t="shared" si="5"/>
        <v/>
      </c>
      <c r="H165" s="24" t="str">
        <f>IFERROR(VLOOKUP(A165,庫存!$A:$I,8,0),"")</f>
        <v/>
      </c>
      <c r="I165" s="24" t="str">
        <f>IFERROR(VLOOKUP(A165,庫存!$A:$I,9,0),"")</f>
        <v/>
      </c>
    </row>
    <row r="166" spans="1:9" ht="23" customHeight="1" x14ac:dyDescent="0.35">
      <c r="A166" s="57"/>
      <c r="B166" s="34" t="str">
        <f>IFERROR(VLOOKUP(A166,庫存!$A:$I,2,0),"")</f>
        <v/>
      </c>
      <c r="C166" s="34" t="str">
        <f>IFERROR(VLOOKUP(A166,庫存!$A:$I,3,0),"")</f>
        <v/>
      </c>
      <c r="D166" s="54"/>
      <c r="E166" s="35" t="str">
        <f t="shared" si="4"/>
        <v/>
      </c>
      <c r="F166" s="45" t="str">
        <f>IFERROR(VLOOKUP(A166,庫存!$A:$I,4,0),"0")</f>
        <v>0</v>
      </c>
      <c r="G166" s="43" t="str">
        <f t="shared" si="5"/>
        <v/>
      </c>
      <c r="H166" s="24" t="str">
        <f>IFERROR(VLOOKUP(A166,庫存!$A:$I,8,0),"")</f>
        <v/>
      </c>
      <c r="I166" s="24" t="str">
        <f>IFERROR(VLOOKUP(A166,庫存!$A:$I,9,0),"")</f>
        <v/>
      </c>
    </row>
    <row r="167" spans="1:9" ht="23" customHeight="1" x14ac:dyDescent="0.35">
      <c r="A167" s="57"/>
      <c r="B167" s="34" t="str">
        <f>IFERROR(VLOOKUP(A167,庫存!$A:$I,2,0),"")</f>
        <v/>
      </c>
      <c r="C167" s="34" t="str">
        <f>IFERROR(VLOOKUP(A167,庫存!$A:$I,3,0),"")</f>
        <v/>
      </c>
      <c r="D167" s="54"/>
      <c r="E167" s="35" t="str">
        <f t="shared" si="4"/>
        <v/>
      </c>
      <c r="F167" s="45" t="str">
        <f>IFERROR(VLOOKUP(A167,庫存!$A:$I,4,0),"0")</f>
        <v>0</v>
      </c>
      <c r="G167" s="43" t="str">
        <f t="shared" si="5"/>
        <v/>
      </c>
      <c r="H167" s="24" t="str">
        <f>IFERROR(VLOOKUP(A167,庫存!$A:$I,8,0),"")</f>
        <v/>
      </c>
      <c r="I167" s="24" t="str">
        <f>IFERROR(VLOOKUP(A167,庫存!$A:$I,9,0),"")</f>
        <v/>
      </c>
    </row>
    <row r="168" spans="1:9" ht="23" customHeight="1" x14ac:dyDescent="0.35">
      <c r="A168" s="57"/>
      <c r="B168" s="34" t="str">
        <f>IFERROR(VLOOKUP(A168,庫存!$A:$I,2,0),"")</f>
        <v/>
      </c>
      <c r="C168" s="34" t="str">
        <f>IFERROR(VLOOKUP(A168,庫存!$A:$I,3,0),"")</f>
        <v/>
      </c>
      <c r="D168" s="54"/>
      <c r="E168" s="35" t="str">
        <f t="shared" si="4"/>
        <v/>
      </c>
      <c r="F168" s="45" t="str">
        <f>IFERROR(VLOOKUP(A168,庫存!$A:$I,4,0),"0")</f>
        <v>0</v>
      </c>
      <c r="G168" s="43" t="str">
        <f t="shared" si="5"/>
        <v/>
      </c>
      <c r="H168" s="24" t="str">
        <f>IFERROR(VLOOKUP(A168,庫存!$A:$I,8,0),"")</f>
        <v/>
      </c>
      <c r="I168" s="24" t="str">
        <f>IFERROR(VLOOKUP(A168,庫存!$A:$I,9,0),"")</f>
        <v/>
      </c>
    </row>
    <row r="169" spans="1:9" ht="23" customHeight="1" x14ac:dyDescent="0.35">
      <c r="A169" s="57"/>
      <c r="B169" s="34" t="str">
        <f>IFERROR(VLOOKUP(A169,庫存!$A:$I,2,0),"")</f>
        <v/>
      </c>
      <c r="C169" s="34" t="str">
        <f>IFERROR(VLOOKUP(A169,庫存!$A:$I,3,0),"")</f>
        <v/>
      </c>
      <c r="D169" s="54"/>
      <c r="E169" s="35" t="str">
        <f t="shared" si="4"/>
        <v/>
      </c>
      <c r="F169" s="45" t="str">
        <f>IFERROR(VLOOKUP(A169,庫存!$A:$I,4,0),"0")</f>
        <v>0</v>
      </c>
      <c r="G169" s="43" t="str">
        <f t="shared" si="5"/>
        <v/>
      </c>
      <c r="H169" s="24" t="str">
        <f>IFERROR(VLOOKUP(A169,庫存!$A:$I,8,0),"")</f>
        <v/>
      </c>
      <c r="I169" s="24" t="str">
        <f>IFERROR(VLOOKUP(A169,庫存!$A:$I,9,0),"")</f>
        <v/>
      </c>
    </row>
    <row r="170" spans="1:9" ht="23" customHeight="1" x14ac:dyDescent="0.35">
      <c r="A170" s="57"/>
      <c r="B170" s="34" t="str">
        <f>IFERROR(VLOOKUP(A170,庫存!$A:$I,2,0),"")</f>
        <v/>
      </c>
      <c r="C170" s="34" t="str">
        <f>IFERROR(VLOOKUP(A170,庫存!$A:$I,3,0),"")</f>
        <v/>
      </c>
      <c r="D170" s="54"/>
      <c r="E170" s="35" t="str">
        <f t="shared" si="4"/>
        <v/>
      </c>
      <c r="F170" s="45" t="str">
        <f>IFERROR(VLOOKUP(A170,庫存!$A:$I,4,0),"0")</f>
        <v>0</v>
      </c>
      <c r="G170" s="43" t="str">
        <f t="shared" si="5"/>
        <v/>
      </c>
      <c r="H170" s="24" t="str">
        <f>IFERROR(VLOOKUP(A170,庫存!$A:$I,8,0),"")</f>
        <v/>
      </c>
      <c r="I170" s="24" t="str">
        <f>IFERROR(VLOOKUP(A170,庫存!$A:$I,9,0),"")</f>
        <v/>
      </c>
    </row>
    <row r="171" spans="1:9" ht="23" customHeight="1" x14ac:dyDescent="0.35">
      <c r="A171" s="57"/>
      <c r="B171" s="34" t="str">
        <f>IFERROR(VLOOKUP(A171,庫存!$A:$I,2,0),"")</f>
        <v/>
      </c>
      <c r="C171" s="34" t="str">
        <f>IFERROR(VLOOKUP(A171,庫存!$A:$I,3,0),"")</f>
        <v/>
      </c>
      <c r="D171" s="54"/>
      <c r="E171" s="35" t="str">
        <f t="shared" si="4"/>
        <v/>
      </c>
      <c r="F171" s="45" t="str">
        <f>IFERROR(VLOOKUP(A171,庫存!$A:$I,4,0),"0")</f>
        <v>0</v>
      </c>
      <c r="G171" s="43" t="str">
        <f t="shared" si="5"/>
        <v/>
      </c>
      <c r="H171" s="24" t="str">
        <f>IFERROR(VLOOKUP(A171,庫存!$A:$I,8,0),"")</f>
        <v/>
      </c>
      <c r="I171" s="24" t="str">
        <f>IFERROR(VLOOKUP(A171,庫存!$A:$I,9,0),"")</f>
        <v/>
      </c>
    </row>
    <row r="172" spans="1:9" ht="23" customHeight="1" x14ac:dyDescent="0.35">
      <c r="A172" s="57"/>
      <c r="B172" s="34" t="str">
        <f>IFERROR(VLOOKUP(A172,庫存!$A:$I,2,0),"")</f>
        <v/>
      </c>
      <c r="C172" s="34" t="str">
        <f>IFERROR(VLOOKUP(A172,庫存!$A:$I,3,0),"")</f>
        <v/>
      </c>
      <c r="D172" s="54"/>
      <c r="E172" s="35" t="str">
        <f t="shared" si="4"/>
        <v/>
      </c>
      <c r="F172" s="45" t="str">
        <f>IFERROR(VLOOKUP(A172,庫存!$A:$I,4,0),"0")</f>
        <v>0</v>
      </c>
      <c r="G172" s="43" t="str">
        <f t="shared" si="5"/>
        <v/>
      </c>
      <c r="H172" s="24" t="str">
        <f>IFERROR(VLOOKUP(A172,庫存!$A:$I,8,0),"")</f>
        <v/>
      </c>
      <c r="I172" s="24" t="str">
        <f>IFERROR(VLOOKUP(A172,庫存!$A:$I,9,0),"")</f>
        <v/>
      </c>
    </row>
    <row r="173" spans="1:9" ht="23" customHeight="1" x14ac:dyDescent="0.35">
      <c r="A173" s="57"/>
      <c r="B173" s="34" t="str">
        <f>IFERROR(VLOOKUP(A173,庫存!$A:$I,2,0),"")</f>
        <v/>
      </c>
      <c r="C173" s="34" t="str">
        <f>IFERROR(VLOOKUP(A173,庫存!$A:$I,3,0),"")</f>
        <v/>
      </c>
      <c r="D173" s="54"/>
      <c r="E173" s="35" t="str">
        <f t="shared" si="4"/>
        <v/>
      </c>
      <c r="F173" s="45" t="str">
        <f>IFERROR(VLOOKUP(A173,庫存!$A:$I,4,0),"0")</f>
        <v>0</v>
      </c>
      <c r="G173" s="43" t="str">
        <f t="shared" si="5"/>
        <v/>
      </c>
      <c r="H173" s="24" t="str">
        <f>IFERROR(VLOOKUP(A173,庫存!$A:$I,8,0),"")</f>
        <v/>
      </c>
      <c r="I173" s="24" t="str">
        <f>IFERROR(VLOOKUP(A173,庫存!$A:$I,9,0),"")</f>
        <v/>
      </c>
    </row>
    <row r="174" spans="1:9" ht="23" customHeight="1" x14ac:dyDescent="0.35">
      <c r="A174" s="57"/>
      <c r="B174" s="34" t="str">
        <f>IFERROR(VLOOKUP(A174,庫存!$A:$I,2,0),"")</f>
        <v/>
      </c>
      <c r="C174" s="34" t="str">
        <f>IFERROR(VLOOKUP(A174,庫存!$A:$I,3,0),"")</f>
        <v/>
      </c>
      <c r="D174" s="54"/>
      <c r="E174" s="35" t="str">
        <f t="shared" si="4"/>
        <v/>
      </c>
      <c r="F174" s="45" t="str">
        <f>IFERROR(VLOOKUP(A174,庫存!$A:$I,4,0),"0")</f>
        <v>0</v>
      </c>
      <c r="G174" s="43" t="str">
        <f t="shared" si="5"/>
        <v/>
      </c>
      <c r="H174" s="24" t="str">
        <f>IFERROR(VLOOKUP(A174,庫存!$A:$I,8,0),"")</f>
        <v/>
      </c>
      <c r="I174" s="24" t="str">
        <f>IFERROR(VLOOKUP(A174,庫存!$A:$I,9,0),"")</f>
        <v/>
      </c>
    </row>
    <row r="175" spans="1:9" ht="23" customHeight="1" x14ac:dyDescent="0.35">
      <c r="A175" s="57"/>
      <c r="B175" s="34" t="str">
        <f>IFERROR(VLOOKUP(A175,庫存!$A:$I,2,0),"")</f>
        <v/>
      </c>
      <c r="C175" s="34" t="str">
        <f>IFERROR(VLOOKUP(A175,庫存!$A:$I,3,0),"")</f>
        <v/>
      </c>
      <c r="D175" s="54"/>
      <c r="E175" s="35" t="str">
        <f t="shared" si="4"/>
        <v/>
      </c>
      <c r="F175" s="45" t="str">
        <f>IFERROR(VLOOKUP(A175,庫存!$A:$I,4,0),"0")</f>
        <v>0</v>
      </c>
      <c r="G175" s="43" t="str">
        <f t="shared" si="5"/>
        <v/>
      </c>
      <c r="H175" s="24" t="str">
        <f>IFERROR(VLOOKUP(A175,庫存!$A:$I,8,0),"")</f>
        <v/>
      </c>
      <c r="I175" s="24" t="str">
        <f>IFERROR(VLOOKUP(A175,庫存!$A:$I,9,0),"")</f>
        <v/>
      </c>
    </row>
    <row r="176" spans="1:9" ht="23" customHeight="1" x14ac:dyDescent="0.35">
      <c r="A176" s="57"/>
      <c r="B176" s="34" t="str">
        <f>IFERROR(VLOOKUP(A176,庫存!$A:$I,2,0),"")</f>
        <v/>
      </c>
      <c r="C176" s="34" t="str">
        <f>IFERROR(VLOOKUP(A176,庫存!$A:$I,3,0),"")</f>
        <v/>
      </c>
      <c r="D176" s="54"/>
      <c r="E176" s="35" t="str">
        <f t="shared" si="4"/>
        <v/>
      </c>
      <c r="F176" s="45" t="str">
        <f>IFERROR(VLOOKUP(A176,庫存!$A:$I,4,0),"0")</f>
        <v>0</v>
      </c>
      <c r="G176" s="43" t="str">
        <f t="shared" si="5"/>
        <v/>
      </c>
      <c r="H176" s="24" t="str">
        <f>IFERROR(VLOOKUP(A176,庫存!$A:$I,8,0),"")</f>
        <v/>
      </c>
      <c r="I176" s="24" t="str">
        <f>IFERROR(VLOOKUP(A176,庫存!$A:$I,9,0),"")</f>
        <v/>
      </c>
    </row>
    <row r="177" spans="1:9" ht="23" customHeight="1" x14ac:dyDescent="0.35">
      <c r="A177" s="57"/>
      <c r="B177" s="34" t="str">
        <f>IFERROR(VLOOKUP(A177,庫存!$A:$I,2,0),"")</f>
        <v/>
      </c>
      <c r="C177" s="34" t="str">
        <f>IFERROR(VLOOKUP(A177,庫存!$A:$I,3,0),"")</f>
        <v/>
      </c>
      <c r="D177" s="54"/>
      <c r="E177" s="35" t="str">
        <f t="shared" si="4"/>
        <v/>
      </c>
      <c r="F177" s="45" t="str">
        <f>IFERROR(VLOOKUP(A177,庫存!$A:$I,4,0),"0")</f>
        <v>0</v>
      </c>
      <c r="G177" s="43" t="str">
        <f t="shared" si="5"/>
        <v/>
      </c>
      <c r="H177" s="24" t="str">
        <f>IFERROR(VLOOKUP(A177,庫存!$A:$I,8,0),"")</f>
        <v/>
      </c>
      <c r="I177" s="24" t="str">
        <f>IFERROR(VLOOKUP(A177,庫存!$A:$I,9,0),"")</f>
        <v/>
      </c>
    </row>
    <row r="178" spans="1:9" ht="23" customHeight="1" x14ac:dyDescent="0.35">
      <c r="A178" s="57"/>
      <c r="B178" s="34" t="str">
        <f>IFERROR(VLOOKUP(A178,庫存!$A:$I,2,0),"")</f>
        <v/>
      </c>
      <c r="C178" s="34" t="str">
        <f>IFERROR(VLOOKUP(A178,庫存!$A:$I,3,0),"")</f>
        <v/>
      </c>
      <c r="D178" s="54"/>
      <c r="E178" s="35" t="str">
        <f t="shared" si="4"/>
        <v/>
      </c>
      <c r="F178" s="45" t="str">
        <f>IFERROR(VLOOKUP(A178,庫存!$A:$I,4,0),"0")</f>
        <v>0</v>
      </c>
      <c r="G178" s="43" t="str">
        <f t="shared" si="5"/>
        <v/>
      </c>
      <c r="H178" s="24" t="str">
        <f>IFERROR(VLOOKUP(A178,庫存!$A:$I,8,0),"")</f>
        <v/>
      </c>
      <c r="I178" s="24" t="str">
        <f>IFERROR(VLOOKUP(A178,庫存!$A:$I,9,0),"")</f>
        <v/>
      </c>
    </row>
    <row r="179" spans="1:9" ht="23" customHeight="1" x14ac:dyDescent="0.35">
      <c r="A179" s="57"/>
      <c r="B179" s="34" t="str">
        <f>IFERROR(VLOOKUP(A179,庫存!$A:$I,2,0),"")</f>
        <v/>
      </c>
      <c r="C179" s="34" t="str">
        <f>IFERROR(VLOOKUP(A179,庫存!$A:$I,3,0),"")</f>
        <v/>
      </c>
      <c r="D179" s="54"/>
      <c r="E179" s="35" t="str">
        <f t="shared" si="4"/>
        <v/>
      </c>
      <c r="F179" s="45" t="str">
        <f>IFERROR(VLOOKUP(A179,庫存!$A:$I,4,0),"0")</f>
        <v>0</v>
      </c>
      <c r="G179" s="43" t="str">
        <f t="shared" si="5"/>
        <v/>
      </c>
      <c r="H179" s="24" t="str">
        <f>IFERROR(VLOOKUP(A179,庫存!$A:$I,8,0),"")</f>
        <v/>
      </c>
      <c r="I179" s="24" t="str">
        <f>IFERROR(VLOOKUP(A179,庫存!$A:$I,9,0),"")</f>
        <v/>
      </c>
    </row>
    <row r="180" spans="1:9" ht="23" customHeight="1" x14ac:dyDescent="0.35">
      <c r="A180" s="57"/>
      <c r="B180" s="34" t="str">
        <f>IFERROR(VLOOKUP(A180,庫存!$A:$I,2,0),"")</f>
        <v/>
      </c>
      <c r="C180" s="34" t="str">
        <f>IFERROR(VLOOKUP(A180,庫存!$A:$I,3,0),"")</f>
        <v/>
      </c>
      <c r="D180" s="54"/>
      <c r="E180" s="35" t="str">
        <f t="shared" si="4"/>
        <v/>
      </c>
      <c r="F180" s="45" t="str">
        <f>IFERROR(VLOOKUP(A180,庫存!$A:$I,4,0),"0")</f>
        <v>0</v>
      </c>
      <c r="G180" s="43" t="str">
        <f t="shared" si="5"/>
        <v/>
      </c>
      <c r="H180" s="24" t="str">
        <f>IFERROR(VLOOKUP(A180,庫存!$A:$I,8,0),"")</f>
        <v/>
      </c>
      <c r="I180" s="24" t="str">
        <f>IFERROR(VLOOKUP(A180,庫存!$A:$I,9,0),"")</f>
        <v/>
      </c>
    </row>
    <row r="181" spans="1:9" ht="23" customHeight="1" x14ac:dyDescent="0.35">
      <c r="A181" s="57"/>
      <c r="B181" s="34" t="str">
        <f>IFERROR(VLOOKUP(A181,庫存!$A:$I,2,0),"")</f>
        <v/>
      </c>
      <c r="C181" s="34" t="str">
        <f>IFERROR(VLOOKUP(A181,庫存!$A:$I,3,0),"")</f>
        <v/>
      </c>
      <c r="D181" s="54"/>
      <c r="E181" s="35" t="str">
        <f t="shared" si="4"/>
        <v/>
      </c>
      <c r="F181" s="45" t="str">
        <f>IFERROR(VLOOKUP(A181,庫存!$A:$I,4,0),"0")</f>
        <v>0</v>
      </c>
      <c r="G181" s="43" t="str">
        <f t="shared" si="5"/>
        <v/>
      </c>
      <c r="H181" s="24" t="str">
        <f>IFERROR(VLOOKUP(A181,庫存!$A:$I,8,0),"")</f>
        <v/>
      </c>
      <c r="I181" s="24" t="str">
        <f>IFERROR(VLOOKUP(A181,庫存!$A:$I,9,0),"")</f>
        <v/>
      </c>
    </row>
    <row r="182" spans="1:9" ht="23" customHeight="1" x14ac:dyDescent="0.35">
      <c r="A182" s="57"/>
      <c r="B182" s="34" t="str">
        <f>IFERROR(VLOOKUP(A182,庫存!$A:$I,2,0),"")</f>
        <v/>
      </c>
      <c r="C182" s="34" t="str">
        <f>IFERROR(VLOOKUP(A182,庫存!$A:$I,3,0),"")</f>
        <v/>
      </c>
      <c r="D182" s="54"/>
      <c r="E182" s="35" t="str">
        <f t="shared" si="4"/>
        <v/>
      </c>
      <c r="F182" s="45" t="str">
        <f>IFERROR(VLOOKUP(A182,庫存!$A:$I,4,0),"0")</f>
        <v>0</v>
      </c>
      <c r="G182" s="43" t="str">
        <f t="shared" si="5"/>
        <v/>
      </c>
      <c r="H182" s="24" t="str">
        <f>IFERROR(VLOOKUP(A182,庫存!$A:$I,8,0),"")</f>
        <v/>
      </c>
      <c r="I182" s="24" t="str">
        <f>IFERROR(VLOOKUP(A182,庫存!$A:$I,9,0),"")</f>
        <v/>
      </c>
    </row>
    <row r="183" spans="1:9" ht="23" customHeight="1" x14ac:dyDescent="0.35">
      <c r="A183" s="57"/>
      <c r="B183" s="34" t="str">
        <f>IFERROR(VLOOKUP(A183,庫存!$A:$I,2,0),"")</f>
        <v/>
      </c>
      <c r="C183" s="34" t="str">
        <f>IFERROR(VLOOKUP(A183,庫存!$A:$I,3,0),"")</f>
        <v/>
      </c>
      <c r="D183" s="54"/>
      <c r="E183" s="35" t="str">
        <f t="shared" si="4"/>
        <v/>
      </c>
      <c r="F183" s="45" t="str">
        <f>IFERROR(VLOOKUP(A183,庫存!$A:$I,4,0),"0")</f>
        <v>0</v>
      </c>
      <c r="G183" s="43" t="str">
        <f t="shared" si="5"/>
        <v/>
      </c>
      <c r="H183" s="24" t="str">
        <f>IFERROR(VLOOKUP(A183,庫存!$A:$I,8,0),"")</f>
        <v/>
      </c>
      <c r="I183" s="24" t="str">
        <f>IFERROR(VLOOKUP(A183,庫存!$A:$I,9,0),"")</f>
        <v/>
      </c>
    </row>
    <row r="184" spans="1:9" ht="23" customHeight="1" x14ac:dyDescent="0.35">
      <c r="A184" s="57"/>
      <c r="B184" s="34" t="str">
        <f>IFERROR(VLOOKUP(A184,庫存!$A:$I,2,0),"")</f>
        <v/>
      </c>
      <c r="C184" s="34" t="str">
        <f>IFERROR(VLOOKUP(A184,庫存!$A:$I,3,0),"")</f>
        <v/>
      </c>
      <c r="D184" s="54"/>
      <c r="E184" s="35" t="str">
        <f t="shared" si="4"/>
        <v/>
      </c>
      <c r="F184" s="45" t="str">
        <f>IFERROR(VLOOKUP(A184,庫存!$A:$I,4,0),"0")</f>
        <v>0</v>
      </c>
      <c r="G184" s="43" t="str">
        <f t="shared" si="5"/>
        <v/>
      </c>
      <c r="H184" s="24" t="str">
        <f>IFERROR(VLOOKUP(A184,庫存!$A:$I,8,0),"")</f>
        <v/>
      </c>
      <c r="I184" s="24" t="str">
        <f>IFERROR(VLOOKUP(A184,庫存!$A:$I,9,0),"")</f>
        <v/>
      </c>
    </row>
    <row r="185" spans="1:9" ht="23" customHeight="1" x14ac:dyDescent="0.35">
      <c r="A185" s="57"/>
      <c r="B185" s="34" t="str">
        <f>IFERROR(VLOOKUP(A185,庫存!$A:$I,2,0),"")</f>
        <v/>
      </c>
      <c r="C185" s="34" t="str">
        <f>IFERROR(VLOOKUP(A185,庫存!$A:$I,3,0),"")</f>
        <v/>
      </c>
      <c r="D185" s="54"/>
      <c r="E185" s="35" t="str">
        <f t="shared" si="4"/>
        <v/>
      </c>
      <c r="F185" s="45" t="str">
        <f>IFERROR(VLOOKUP(A185,庫存!$A:$I,4,0),"0")</f>
        <v>0</v>
      </c>
      <c r="G185" s="43" t="str">
        <f t="shared" si="5"/>
        <v/>
      </c>
      <c r="H185" s="24" t="str">
        <f>IFERROR(VLOOKUP(A185,庫存!$A:$I,8,0),"")</f>
        <v/>
      </c>
      <c r="I185" s="24" t="str">
        <f>IFERROR(VLOOKUP(A185,庫存!$A:$I,9,0),"")</f>
        <v/>
      </c>
    </row>
    <row r="186" spans="1:9" ht="23" customHeight="1" x14ac:dyDescent="0.35">
      <c r="A186" s="57"/>
      <c r="B186" s="34" t="str">
        <f>IFERROR(VLOOKUP(A186,庫存!$A:$I,2,0),"")</f>
        <v/>
      </c>
      <c r="C186" s="34" t="str">
        <f>IFERROR(VLOOKUP(A186,庫存!$A:$I,3,0),"")</f>
        <v/>
      </c>
      <c r="D186" s="54"/>
      <c r="E186" s="35" t="str">
        <f t="shared" si="4"/>
        <v/>
      </c>
      <c r="F186" s="45" t="str">
        <f>IFERROR(VLOOKUP(A186,庫存!$A:$I,4,0),"0")</f>
        <v>0</v>
      </c>
      <c r="G186" s="43" t="str">
        <f t="shared" si="5"/>
        <v/>
      </c>
      <c r="H186" s="24" t="str">
        <f>IFERROR(VLOOKUP(A186,庫存!$A:$I,8,0),"")</f>
        <v/>
      </c>
      <c r="I186" s="24" t="str">
        <f>IFERROR(VLOOKUP(A186,庫存!$A:$I,9,0),"")</f>
        <v/>
      </c>
    </row>
    <row r="187" spans="1:9" ht="23" customHeight="1" x14ac:dyDescent="0.35">
      <c r="A187" s="57"/>
      <c r="B187" s="34" t="str">
        <f>IFERROR(VLOOKUP(A187,庫存!$A:$I,2,0),"")</f>
        <v/>
      </c>
      <c r="C187" s="34" t="str">
        <f>IFERROR(VLOOKUP(A187,庫存!$A:$I,3,0),"")</f>
        <v/>
      </c>
      <c r="D187" s="54"/>
      <c r="E187" s="35" t="str">
        <f t="shared" si="4"/>
        <v/>
      </c>
      <c r="F187" s="45" t="str">
        <f>IFERROR(VLOOKUP(A187,庫存!$A:$I,4,0),"0")</f>
        <v>0</v>
      </c>
      <c r="G187" s="43" t="str">
        <f t="shared" si="5"/>
        <v/>
      </c>
      <c r="H187" s="24" t="str">
        <f>IFERROR(VLOOKUP(A187,庫存!$A:$I,8,0),"")</f>
        <v/>
      </c>
      <c r="I187" s="24" t="str">
        <f>IFERROR(VLOOKUP(A187,庫存!$A:$I,9,0),"")</f>
        <v/>
      </c>
    </row>
    <row r="188" spans="1:9" ht="23" customHeight="1" x14ac:dyDescent="0.35">
      <c r="A188" s="57"/>
      <c r="B188" s="34" t="str">
        <f>IFERROR(VLOOKUP(A188,庫存!$A:$I,2,0),"")</f>
        <v/>
      </c>
      <c r="C188" s="34" t="str">
        <f>IFERROR(VLOOKUP(A188,庫存!$A:$I,3,0),"")</f>
        <v/>
      </c>
      <c r="D188" s="54"/>
      <c r="E188" s="35" t="str">
        <f t="shared" si="4"/>
        <v/>
      </c>
      <c r="F188" s="45" t="str">
        <f>IFERROR(VLOOKUP(A188,庫存!$A:$I,4,0),"0")</f>
        <v>0</v>
      </c>
      <c r="G188" s="43" t="str">
        <f t="shared" si="5"/>
        <v/>
      </c>
      <c r="H188" s="24" t="str">
        <f>IFERROR(VLOOKUP(A188,庫存!$A:$I,8,0),"")</f>
        <v/>
      </c>
      <c r="I188" s="24" t="str">
        <f>IFERROR(VLOOKUP(A188,庫存!$A:$I,9,0),"")</f>
        <v/>
      </c>
    </row>
    <row r="189" spans="1:9" ht="23" customHeight="1" x14ac:dyDescent="0.35">
      <c r="A189" s="57"/>
      <c r="B189" s="34" t="str">
        <f>IFERROR(VLOOKUP(A189,庫存!$A:$I,2,0),"")</f>
        <v/>
      </c>
      <c r="C189" s="34" t="str">
        <f>IFERROR(VLOOKUP(A189,庫存!$A:$I,3,0),"")</f>
        <v/>
      </c>
      <c r="D189" s="54"/>
      <c r="E189" s="35" t="str">
        <f t="shared" si="4"/>
        <v/>
      </c>
      <c r="F189" s="45" t="str">
        <f>IFERROR(VLOOKUP(A189,庫存!$A:$I,4,0),"0")</f>
        <v>0</v>
      </c>
      <c r="G189" s="43" t="str">
        <f t="shared" si="5"/>
        <v/>
      </c>
      <c r="H189" s="24" t="str">
        <f>IFERROR(VLOOKUP(A189,庫存!$A:$I,8,0),"")</f>
        <v/>
      </c>
      <c r="I189" s="24" t="str">
        <f>IFERROR(VLOOKUP(A189,庫存!$A:$I,9,0),"")</f>
        <v/>
      </c>
    </row>
    <row r="190" spans="1:9" ht="23" customHeight="1" x14ac:dyDescent="0.35">
      <c r="A190" s="57"/>
      <c r="B190" s="34" t="str">
        <f>IFERROR(VLOOKUP(A190,庫存!$A:$I,2,0),"")</f>
        <v/>
      </c>
      <c r="C190" s="34" t="str">
        <f>IFERROR(VLOOKUP(A190,庫存!$A:$I,3,0),"")</f>
        <v/>
      </c>
      <c r="D190" s="54"/>
      <c r="E190" s="35" t="str">
        <f t="shared" si="4"/>
        <v/>
      </c>
      <c r="F190" s="45" t="str">
        <f>IFERROR(VLOOKUP(A190,庫存!$A:$I,4,0),"0")</f>
        <v>0</v>
      </c>
      <c r="G190" s="43" t="str">
        <f t="shared" si="5"/>
        <v/>
      </c>
      <c r="H190" s="24" t="str">
        <f>IFERROR(VLOOKUP(A190,庫存!$A:$I,8,0),"")</f>
        <v/>
      </c>
      <c r="I190" s="24" t="str">
        <f>IFERROR(VLOOKUP(A190,庫存!$A:$I,9,0),"")</f>
        <v/>
      </c>
    </row>
    <row r="191" spans="1:9" ht="23" customHeight="1" x14ac:dyDescent="0.35">
      <c r="A191" s="57"/>
      <c r="B191" s="34" t="str">
        <f>IFERROR(VLOOKUP(A191,庫存!$A:$I,2,0),"")</f>
        <v/>
      </c>
      <c r="C191" s="34" t="str">
        <f>IFERROR(VLOOKUP(A191,庫存!$A:$I,3,0),"")</f>
        <v/>
      </c>
      <c r="D191" s="54"/>
      <c r="E191" s="35" t="str">
        <f t="shared" si="4"/>
        <v/>
      </c>
      <c r="F191" s="45" t="str">
        <f>IFERROR(VLOOKUP(A191,庫存!$A:$I,4,0),"0")</f>
        <v>0</v>
      </c>
      <c r="G191" s="43" t="str">
        <f t="shared" si="5"/>
        <v/>
      </c>
      <c r="H191" s="24" t="str">
        <f>IFERROR(VLOOKUP(A191,庫存!$A:$I,8,0),"")</f>
        <v/>
      </c>
      <c r="I191" s="24" t="str">
        <f>IFERROR(VLOOKUP(A191,庫存!$A:$I,9,0),"")</f>
        <v/>
      </c>
    </row>
    <row r="192" spans="1:9" ht="23" customHeight="1" x14ac:dyDescent="0.35">
      <c r="A192" s="57"/>
      <c r="B192" s="34" t="str">
        <f>IFERROR(VLOOKUP(A192,庫存!$A:$I,2,0),"")</f>
        <v/>
      </c>
      <c r="C192" s="34" t="str">
        <f>IFERROR(VLOOKUP(A192,庫存!$A:$I,3,0),"")</f>
        <v/>
      </c>
      <c r="D192" s="54"/>
      <c r="E192" s="35" t="str">
        <f t="shared" si="4"/>
        <v/>
      </c>
      <c r="F192" s="45" t="str">
        <f>IFERROR(VLOOKUP(A192,庫存!$A:$I,4,0),"0")</f>
        <v>0</v>
      </c>
      <c r="G192" s="43" t="str">
        <f t="shared" si="5"/>
        <v/>
      </c>
      <c r="H192" s="24" t="str">
        <f>IFERROR(VLOOKUP(A192,庫存!$A:$I,8,0),"")</f>
        <v/>
      </c>
      <c r="I192" s="24" t="str">
        <f>IFERROR(VLOOKUP(A192,庫存!$A:$I,9,0),"")</f>
        <v/>
      </c>
    </row>
    <row r="193" spans="1:9" ht="23" customHeight="1" x14ac:dyDescent="0.35">
      <c r="A193" s="57"/>
      <c r="B193" s="34" t="str">
        <f>IFERROR(VLOOKUP(A193,庫存!$A:$I,2,0),"")</f>
        <v/>
      </c>
      <c r="C193" s="34" t="str">
        <f>IFERROR(VLOOKUP(A193,庫存!$A:$I,3,0),"")</f>
        <v/>
      </c>
      <c r="D193" s="54"/>
      <c r="E193" s="35" t="str">
        <f t="shared" si="4"/>
        <v/>
      </c>
      <c r="F193" s="45" t="str">
        <f>IFERROR(VLOOKUP(A193,庫存!$A:$I,4,0),"0")</f>
        <v>0</v>
      </c>
      <c r="G193" s="43" t="str">
        <f t="shared" si="5"/>
        <v/>
      </c>
      <c r="H193" s="24" t="str">
        <f>IFERROR(VLOOKUP(A193,庫存!$A:$I,8,0),"")</f>
        <v/>
      </c>
      <c r="I193" s="24" t="str">
        <f>IFERROR(VLOOKUP(A193,庫存!$A:$I,9,0),"")</f>
        <v/>
      </c>
    </row>
    <row r="194" spans="1:9" ht="23" customHeight="1" x14ac:dyDescent="0.35">
      <c r="A194" s="57"/>
      <c r="B194" s="34" t="str">
        <f>IFERROR(VLOOKUP(A194,庫存!$A:$I,2,0),"")</f>
        <v/>
      </c>
      <c r="C194" s="34" t="str">
        <f>IFERROR(VLOOKUP(A194,庫存!$A:$I,3,0),"")</f>
        <v/>
      </c>
      <c r="D194" s="54"/>
      <c r="E194" s="35" t="str">
        <f t="shared" ref="E194:E257" si="6">IF(D194*$E$1=0,"",D194*$E$1)</f>
        <v/>
      </c>
      <c r="F194" s="45" t="str">
        <f>IFERROR(VLOOKUP(A194,庫存!$A:$I,4,0),"0")</f>
        <v>0</v>
      </c>
      <c r="G194" s="43" t="str">
        <f t="shared" ref="G194:G257" si="7">IFERROR(F194-E194,"")</f>
        <v/>
      </c>
      <c r="H194" s="24" t="str">
        <f>IFERROR(VLOOKUP(A194,庫存!$A:$I,8,0),"")</f>
        <v/>
      </c>
      <c r="I194" s="24" t="str">
        <f>IFERROR(VLOOKUP(A194,庫存!$A:$I,9,0),"")</f>
        <v/>
      </c>
    </row>
    <row r="195" spans="1:9" ht="23" customHeight="1" x14ac:dyDescent="0.35">
      <c r="A195" s="57"/>
      <c r="B195" s="34" t="str">
        <f>IFERROR(VLOOKUP(A195,庫存!$A:$I,2,0),"")</f>
        <v/>
      </c>
      <c r="C195" s="34" t="str">
        <f>IFERROR(VLOOKUP(A195,庫存!$A:$I,3,0),"")</f>
        <v/>
      </c>
      <c r="D195" s="54"/>
      <c r="E195" s="35" t="str">
        <f t="shared" si="6"/>
        <v/>
      </c>
      <c r="F195" s="45" t="str">
        <f>IFERROR(VLOOKUP(A195,庫存!$A:$I,4,0),"0")</f>
        <v>0</v>
      </c>
      <c r="G195" s="43" t="str">
        <f t="shared" si="7"/>
        <v/>
      </c>
      <c r="H195" s="24" t="str">
        <f>IFERROR(VLOOKUP(A195,庫存!$A:$I,8,0),"")</f>
        <v/>
      </c>
      <c r="I195" s="24" t="str">
        <f>IFERROR(VLOOKUP(A195,庫存!$A:$I,9,0),"")</f>
        <v/>
      </c>
    </row>
    <row r="196" spans="1:9" ht="23" customHeight="1" x14ac:dyDescent="0.35">
      <c r="A196" s="57"/>
      <c r="B196" s="34" t="str">
        <f>IFERROR(VLOOKUP(A196,庫存!$A:$I,2,0),"")</f>
        <v/>
      </c>
      <c r="C196" s="34" t="str">
        <f>IFERROR(VLOOKUP(A196,庫存!$A:$I,3,0),"")</f>
        <v/>
      </c>
      <c r="D196" s="54"/>
      <c r="E196" s="35" t="str">
        <f t="shared" si="6"/>
        <v/>
      </c>
      <c r="F196" s="45" t="str">
        <f>IFERROR(VLOOKUP(A196,庫存!$A:$I,4,0),"0")</f>
        <v>0</v>
      </c>
      <c r="G196" s="43" t="str">
        <f t="shared" si="7"/>
        <v/>
      </c>
      <c r="H196" s="24" t="str">
        <f>IFERROR(VLOOKUP(A196,庫存!$A:$I,8,0),"")</f>
        <v/>
      </c>
      <c r="I196" s="24" t="str">
        <f>IFERROR(VLOOKUP(A196,庫存!$A:$I,9,0),"")</f>
        <v/>
      </c>
    </row>
    <row r="197" spans="1:9" ht="23" customHeight="1" x14ac:dyDescent="0.35">
      <c r="A197" s="57"/>
      <c r="B197" s="34" t="str">
        <f>IFERROR(VLOOKUP(A197,庫存!$A:$I,2,0),"")</f>
        <v/>
      </c>
      <c r="C197" s="34" t="str">
        <f>IFERROR(VLOOKUP(A197,庫存!$A:$I,3,0),"")</f>
        <v/>
      </c>
      <c r="D197" s="54"/>
      <c r="E197" s="35" t="str">
        <f t="shared" si="6"/>
        <v/>
      </c>
      <c r="F197" s="45" t="str">
        <f>IFERROR(VLOOKUP(A197,庫存!$A:$I,4,0),"0")</f>
        <v>0</v>
      </c>
      <c r="G197" s="43" t="str">
        <f t="shared" si="7"/>
        <v/>
      </c>
      <c r="H197" s="24" t="str">
        <f>IFERROR(VLOOKUP(A197,庫存!$A:$I,8,0),"")</f>
        <v/>
      </c>
      <c r="I197" s="24" t="str">
        <f>IFERROR(VLOOKUP(A197,庫存!$A:$I,9,0),"")</f>
        <v/>
      </c>
    </row>
    <row r="198" spans="1:9" ht="23" customHeight="1" x14ac:dyDescent="0.35">
      <c r="A198" s="57"/>
      <c r="B198" s="34" t="str">
        <f>IFERROR(VLOOKUP(A198,庫存!$A:$I,2,0),"")</f>
        <v/>
      </c>
      <c r="C198" s="34" t="str">
        <f>IFERROR(VLOOKUP(A198,庫存!$A:$I,3,0),"")</f>
        <v/>
      </c>
      <c r="D198" s="54"/>
      <c r="E198" s="35" t="str">
        <f t="shared" si="6"/>
        <v/>
      </c>
      <c r="F198" s="45" t="str">
        <f>IFERROR(VLOOKUP(A198,庫存!$A:$I,4,0),"0")</f>
        <v>0</v>
      </c>
      <c r="G198" s="43" t="str">
        <f t="shared" si="7"/>
        <v/>
      </c>
      <c r="H198" s="24" t="str">
        <f>IFERROR(VLOOKUP(A198,庫存!$A:$I,8,0),"")</f>
        <v/>
      </c>
      <c r="I198" s="24" t="str">
        <f>IFERROR(VLOOKUP(A198,庫存!$A:$I,9,0),"")</f>
        <v/>
      </c>
    </row>
    <row r="199" spans="1:9" ht="23" customHeight="1" x14ac:dyDescent="0.35">
      <c r="A199" s="57"/>
      <c r="B199" s="34" t="str">
        <f>IFERROR(VLOOKUP(A199,庫存!$A:$I,2,0),"")</f>
        <v/>
      </c>
      <c r="C199" s="34" t="str">
        <f>IFERROR(VLOOKUP(A199,庫存!$A:$I,3,0),"")</f>
        <v/>
      </c>
      <c r="D199" s="54"/>
      <c r="E199" s="35" t="str">
        <f t="shared" si="6"/>
        <v/>
      </c>
      <c r="F199" s="45" t="str">
        <f>IFERROR(VLOOKUP(A199,庫存!$A:$I,4,0),"0")</f>
        <v>0</v>
      </c>
      <c r="G199" s="43" t="str">
        <f t="shared" si="7"/>
        <v/>
      </c>
      <c r="H199" s="24" t="str">
        <f>IFERROR(VLOOKUP(A199,庫存!$A:$I,8,0),"")</f>
        <v/>
      </c>
      <c r="I199" s="24" t="str">
        <f>IFERROR(VLOOKUP(A199,庫存!$A:$I,9,0),"")</f>
        <v/>
      </c>
    </row>
    <row r="200" spans="1:9" ht="23" customHeight="1" x14ac:dyDescent="0.35">
      <c r="A200" s="57"/>
      <c r="B200" s="34" t="str">
        <f>IFERROR(VLOOKUP(A200,庫存!$A:$I,2,0),"")</f>
        <v/>
      </c>
      <c r="C200" s="34" t="str">
        <f>IFERROR(VLOOKUP(A200,庫存!$A:$I,3,0),"")</f>
        <v/>
      </c>
      <c r="D200" s="54"/>
      <c r="E200" s="35" t="str">
        <f t="shared" si="6"/>
        <v/>
      </c>
      <c r="F200" s="45" t="str">
        <f>IFERROR(VLOOKUP(A200,庫存!$A:$I,4,0),"0")</f>
        <v>0</v>
      </c>
      <c r="G200" s="43" t="str">
        <f t="shared" si="7"/>
        <v/>
      </c>
      <c r="H200" s="24" t="str">
        <f>IFERROR(VLOOKUP(A200,庫存!$A:$I,8,0),"")</f>
        <v/>
      </c>
      <c r="I200" s="24" t="str">
        <f>IFERROR(VLOOKUP(A200,庫存!$A:$I,9,0),"")</f>
        <v/>
      </c>
    </row>
    <row r="201" spans="1:9" ht="23" customHeight="1" x14ac:dyDescent="0.35">
      <c r="A201" s="57"/>
      <c r="B201" s="34" t="str">
        <f>IFERROR(VLOOKUP(A201,庫存!$A:$I,2,0),"")</f>
        <v/>
      </c>
      <c r="C201" s="34" t="str">
        <f>IFERROR(VLOOKUP(A201,庫存!$A:$I,3,0),"")</f>
        <v/>
      </c>
      <c r="D201" s="54"/>
      <c r="E201" s="35" t="str">
        <f t="shared" si="6"/>
        <v/>
      </c>
      <c r="F201" s="45" t="str">
        <f>IFERROR(VLOOKUP(A201,庫存!$A:$I,4,0),"0")</f>
        <v>0</v>
      </c>
      <c r="G201" s="43" t="str">
        <f t="shared" si="7"/>
        <v/>
      </c>
      <c r="H201" s="24" t="str">
        <f>IFERROR(VLOOKUP(A201,庫存!$A:$I,8,0),"")</f>
        <v/>
      </c>
      <c r="I201" s="24" t="str">
        <f>IFERROR(VLOOKUP(A201,庫存!$A:$I,9,0),"")</f>
        <v/>
      </c>
    </row>
    <row r="202" spans="1:9" ht="23" customHeight="1" x14ac:dyDescent="0.35">
      <c r="A202" s="57"/>
      <c r="B202" s="34" t="str">
        <f>IFERROR(VLOOKUP(A202,庫存!$A:$I,2,0),"")</f>
        <v/>
      </c>
      <c r="C202" s="34" t="str">
        <f>IFERROR(VLOOKUP(A202,庫存!$A:$I,3,0),"")</f>
        <v/>
      </c>
      <c r="D202" s="54"/>
      <c r="E202" s="35" t="str">
        <f t="shared" si="6"/>
        <v/>
      </c>
      <c r="F202" s="45" t="str">
        <f>IFERROR(VLOOKUP(A202,庫存!$A:$I,4,0),"0")</f>
        <v>0</v>
      </c>
      <c r="G202" s="43" t="str">
        <f t="shared" si="7"/>
        <v/>
      </c>
      <c r="H202" s="24" t="str">
        <f>IFERROR(VLOOKUP(A202,庫存!$A:$I,8,0),"")</f>
        <v/>
      </c>
      <c r="I202" s="24" t="str">
        <f>IFERROR(VLOOKUP(A202,庫存!$A:$I,9,0),"")</f>
        <v/>
      </c>
    </row>
    <row r="203" spans="1:9" ht="23" customHeight="1" x14ac:dyDescent="0.35">
      <c r="A203" s="57"/>
      <c r="B203" s="34" t="str">
        <f>IFERROR(VLOOKUP(A203,庫存!$A:$I,2,0),"")</f>
        <v/>
      </c>
      <c r="C203" s="34" t="str">
        <f>IFERROR(VLOOKUP(A203,庫存!$A:$I,3,0),"")</f>
        <v/>
      </c>
      <c r="D203" s="54"/>
      <c r="E203" s="35" t="str">
        <f t="shared" si="6"/>
        <v/>
      </c>
      <c r="F203" s="45" t="str">
        <f>IFERROR(VLOOKUP(A203,庫存!$A:$I,4,0),"0")</f>
        <v>0</v>
      </c>
      <c r="G203" s="43" t="str">
        <f t="shared" si="7"/>
        <v/>
      </c>
      <c r="H203" s="24" t="str">
        <f>IFERROR(VLOOKUP(A203,庫存!$A:$I,8,0),"")</f>
        <v/>
      </c>
      <c r="I203" s="24" t="str">
        <f>IFERROR(VLOOKUP(A203,庫存!$A:$I,9,0),"")</f>
        <v/>
      </c>
    </row>
    <row r="204" spans="1:9" ht="23" customHeight="1" x14ac:dyDescent="0.35">
      <c r="A204" s="57"/>
      <c r="B204" s="34" t="str">
        <f>IFERROR(VLOOKUP(A204,庫存!$A:$I,2,0),"")</f>
        <v/>
      </c>
      <c r="C204" s="34" t="str">
        <f>IFERROR(VLOOKUP(A204,庫存!$A:$I,3,0),"")</f>
        <v/>
      </c>
      <c r="D204" s="54"/>
      <c r="E204" s="35" t="str">
        <f t="shared" si="6"/>
        <v/>
      </c>
      <c r="F204" s="45" t="str">
        <f>IFERROR(VLOOKUP(A204,庫存!$A:$I,4,0),"0")</f>
        <v>0</v>
      </c>
      <c r="G204" s="43" t="str">
        <f t="shared" si="7"/>
        <v/>
      </c>
      <c r="H204" s="24" t="str">
        <f>IFERROR(VLOOKUP(A204,庫存!$A:$I,8,0),"")</f>
        <v/>
      </c>
      <c r="I204" s="24" t="str">
        <f>IFERROR(VLOOKUP(A204,庫存!$A:$I,9,0),"")</f>
        <v/>
      </c>
    </row>
    <row r="205" spans="1:9" ht="23" customHeight="1" x14ac:dyDescent="0.35">
      <c r="A205" s="57"/>
      <c r="B205" s="34" t="str">
        <f>IFERROR(VLOOKUP(A205,庫存!$A:$I,2,0),"")</f>
        <v/>
      </c>
      <c r="C205" s="34" t="str">
        <f>IFERROR(VLOOKUP(A205,庫存!$A:$I,3,0),"")</f>
        <v/>
      </c>
      <c r="D205" s="54"/>
      <c r="E205" s="35" t="str">
        <f t="shared" si="6"/>
        <v/>
      </c>
      <c r="F205" s="45" t="str">
        <f>IFERROR(VLOOKUP(A205,庫存!$A:$I,4,0),"0")</f>
        <v>0</v>
      </c>
      <c r="G205" s="43" t="str">
        <f t="shared" si="7"/>
        <v/>
      </c>
      <c r="H205" s="24" t="str">
        <f>IFERROR(VLOOKUP(A205,庫存!$A:$I,8,0),"")</f>
        <v/>
      </c>
      <c r="I205" s="24" t="str">
        <f>IFERROR(VLOOKUP(A205,庫存!$A:$I,9,0),"")</f>
        <v/>
      </c>
    </row>
    <row r="206" spans="1:9" ht="23" customHeight="1" x14ac:dyDescent="0.35">
      <c r="A206" s="57"/>
      <c r="B206" s="34" t="str">
        <f>IFERROR(VLOOKUP(A206,庫存!$A:$I,2,0),"")</f>
        <v/>
      </c>
      <c r="C206" s="34" t="str">
        <f>IFERROR(VLOOKUP(A206,庫存!$A:$I,3,0),"")</f>
        <v/>
      </c>
      <c r="D206" s="54"/>
      <c r="E206" s="35" t="str">
        <f t="shared" si="6"/>
        <v/>
      </c>
      <c r="F206" s="45" t="str">
        <f>IFERROR(VLOOKUP(A206,庫存!$A:$I,4,0),"0")</f>
        <v>0</v>
      </c>
      <c r="G206" s="43" t="str">
        <f t="shared" si="7"/>
        <v/>
      </c>
      <c r="H206" s="24" t="str">
        <f>IFERROR(VLOOKUP(A206,庫存!$A:$I,8,0),"")</f>
        <v/>
      </c>
      <c r="I206" s="24" t="str">
        <f>IFERROR(VLOOKUP(A206,庫存!$A:$I,9,0),"")</f>
        <v/>
      </c>
    </row>
    <row r="207" spans="1:9" ht="23" customHeight="1" x14ac:dyDescent="0.35">
      <c r="A207" s="57"/>
      <c r="B207" s="34" t="str">
        <f>IFERROR(VLOOKUP(A207,庫存!$A:$I,2,0),"")</f>
        <v/>
      </c>
      <c r="C207" s="34" t="str">
        <f>IFERROR(VLOOKUP(A207,庫存!$A:$I,3,0),"")</f>
        <v/>
      </c>
      <c r="D207" s="54"/>
      <c r="E207" s="35" t="str">
        <f t="shared" si="6"/>
        <v/>
      </c>
      <c r="F207" s="45" t="str">
        <f>IFERROR(VLOOKUP(A207,庫存!$A:$I,4,0),"0")</f>
        <v>0</v>
      </c>
      <c r="G207" s="43" t="str">
        <f t="shared" si="7"/>
        <v/>
      </c>
      <c r="H207" s="24" t="str">
        <f>IFERROR(VLOOKUP(A207,庫存!$A:$I,8,0),"")</f>
        <v/>
      </c>
      <c r="I207" s="24" t="str">
        <f>IFERROR(VLOOKUP(A207,庫存!$A:$I,9,0),"")</f>
        <v/>
      </c>
    </row>
    <row r="208" spans="1:9" ht="23" customHeight="1" x14ac:dyDescent="0.35">
      <c r="A208" s="57"/>
      <c r="B208" s="34" t="str">
        <f>IFERROR(VLOOKUP(A208,庫存!$A:$I,2,0),"")</f>
        <v/>
      </c>
      <c r="C208" s="34" t="str">
        <f>IFERROR(VLOOKUP(A208,庫存!$A:$I,3,0),"")</f>
        <v/>
      </c>
      <c r="D208" s="54"/>
      <c r="E208" s="35" t="str">
        <f t="shared" si="6"/>
        <v/>
      </c>
      <c r="F208" s="45" t="str">
        <f>IFERROR(VLOOKUP(A208,庫存!$A:$I,4,0),"0")</f>
        <v>0</v>
      </c>
      <c r="G208" s="43" t="str">
        <f t="shared" si="7"/>
        <v/>
      </c>
      <c r="H208" s="24" t="str">
        <f>IFERROR(VLOOKUP(A208,庫存!$A:$I,8,0),"")</f>
        <v/>
      </c>
      <c r="I208" s="24" t="str">
        <f>IFERROR(VLOOKUP(A208,庫存!$A:$I,9,0),"")</f>
        <v/>
      </c>
    </row>
    <row r="209" spans="1:9" ht="23" customHeight="1" x14ac:dyDescent="0.35">
      <c r="A209" s="57"/>
      <c r="B209" s="34" t="str">
        <f>IFERROR(VLOOKUP(A209,庫存!$A:$I,2,0),"")</f>
        <v/>
      </c>
      <c r="C209" s="34" t="str">
        <f>IFERROR(VLOOKUP(A209,庫存!$A:$I,3,0),"")</f>
        <v/>
      </c>
      <c r="D209" s="54"/>
      <c r="E209" s="35" t="str">
        <f t="shared" si="6"/>
        <v/>
      </c>
      <c r="F209" s="45" t="str">
        <f>IFERROR(VLOOKUP(A209,庫存!$A:$I,4,0),"0")</f>
        <v>0</v>
      </c>
      <c r="G209" s="43" t="str">
        <f t="shared" si="7"/>
        <v/>
      </c>
      <c r="H209" s="24" t="str">
        <f>IFERROR(VLOOKUP(A209,庫存!$A:$I,8,0),"")</f>
        <v/>
      </c>
      <c r="I209" s="24" t="str">
        <f>IFERROR(VLOOKUP(A209,庫存!$A:$I,9,0),"")</f>
        <v/>
      </c>
    </row>
    <row r="210" spans="1:9" ht="23" customHeight="1" x14ac:dyDescent="0.35">
      <c r="A210" s="57"/>
      <c r="B210" s="34" t="str">
        <f>IFERROR(VLOOKUP(A210,庫存!$A:$I,2,0),"")</f>
        <v/>
      </c>
      <c r="C210" s="34" t="str">
        <f>IFERROR(VLOOKUP(A210,庫存!$A:$I,3,0),"")</f>
        <v/>
      </c>
      <c r="D210" s="54"/>
      <c r="E210" s="35" t="str">
        <f t="shared" si="6"/>
        <v/>
      </c>
      <c r="F210" s="45" t="str">
        <f>IFERROR(VLOOKUP(A210,庫存!$A:$I,4,0),"0")</f>
        <v>0</v>
      </c>
      <c r="G210" s="43" t="str">
        <f t="shared" si="7"/>
        <v/>
      </c>
      <c r="H210" s="24" t="str">
        <f>IFERROR(VLOOKUP(A210,庫存!$A:$I,8,0),"")</f>
        <v/>
      </c>
      <c r="I210" s="24" t="str">
        <f>IFERROR(VLOOKUP(A210,庫存!$A:$I,9,0),"")</f>
        <v/>
      </c>
    </row>
    <row r="211" spans="1:9" ht="23" customHeight="1" x14ac:dyDescent="0.35">
      <c r="A211" s="57"/>
      <c r="B211" s="34" t="str">
        <f>IFERROR(VLOOKUP(A211,庫存!$A:$I,2,0),"")</f>
        <v/>
      </c>
      <c r="C211" s="34" t="str">
        <f>IFERROR(VLOOKUP(A211,庫存!$A:$I,3,0),"")</f>
        <v/>
      </c>
      <c r="D211" s="54"/>
      <c r="E211" s="35" t="str">
        <f t="shared" si="6"/>
        <v/>
      </c>
      <c r="F211" s="45" t="str">
        <f>IFERROR(VLOOKUP(A211,庫存!$A:$I,4,0),"0")</f>
        <v>0</v>
      </c>
      <c r="G211" s="43" t="str">
        <f t="shared" si="7"/>
        <v/>
      </c>
      <c r="H211" s="24" t="str">
        <f>IFERROR(VLOOKUP(A211,庫存!$A:$I,8,0),"")</f>
        <v/>
      </c>
      <c r="I211" s="24" t="str">
        <f>IFERROR(VLOOKUP(A211,庫存!$A:$I,9,0),"")</f>
        <v/>
      </c>
    </row>
    <row r="212" spans="1:9" ht="23" customHeight="1" x14ac:dyDescent="0.35">
      <c r="A212" s="57"/>
      <c r="B212" s="34" t="str">
        <f>IFERROR(VLOOKUP(A212,庫存!$A:$I,2,0),"")</f>
        <v/>
      </c>
      <c r="C212" s="34" t="str">
        <f>IFERROR(VLOOKUP(A212,庫存!$A:$I,3,0),"")</f>
        <v/>
      </c>
      <c r="D212" s="54"/>
      <c r="E212" s="35" t="str">
        <f t="shared" si="6"/>
        <v/>
      </c>
      <c r="F212" s="45" t="str">
        <f>IFERROR(VLOOKUP(A212,庫存!$A:$I,4,0),"0")</f>
        <v>0</v>
      </c>
      <c r="G212" s="43" t="str">
        <f t="shared" si="7"/>
        <v/>
      </c>
      <c r="H212" s="24" t="str">
        <f>IFERROR(VLOOKUP(A212,庫存!$A:$I,8,0),"")</f>
        <v/>
      </c>
      <c r="I212" s="24" t="str">
        <f>IFERROR(VLOOKUP(A212,庫存!$A:$I,9,0),"")</f>
        <v/>
      </c>
    </row>
    <row r="213" spans="1:9" ht="23" customHeight="1" x14ac:dyDescent="0.35">
      <c r="A213" s="57"/>
      <c r="B213" s="34" t="str">
        <f>IFERROR(VLOOKUP(A213,庫存!$A:$I,2,0),"")</f>
        <v/>
      </c>
      <c r="C213" s="34" t="str">
        <f>IFERROR(VLOOKUP(A213,庫存!$A:$I,3,0),"")</f>
        <v/>
      </c>
      <c r="D213" s="54"/>
      <c r="E213" s="35" t="str">
        <f t="shared" si="6"/>
        <v/>
      </c>
      <c r="F213" s="45" t="str">
        <f>IFERROR(VLOOKUP(A213,庫存!$A:$I,4,0),"0")</f>
        <v>0</v>
      </c>
      <c r="G213" s="43" t="str">
        <f t="shared" si="7"/>
        <v/>
      </c>
      <c r="H213" s="24" t="str">
        <f>IFERROR(VLOOKUP(A213,庫存!$A:$I,8,0),"")</f>
        <v/>
      </c>
      <c r="I213" s="24" t="str">
        <f>IFERROR(VLOOKUP(A213,庫存!$A:$I,9,0),"")</f>
        <v/>
      </c>
    </row>
    <row r="214" spans="1:9" ht="23" customHeight="1" x14ac:dyDescent="0.35">
      <c r="A214" s="57"/>
      <c r="B214" s="34" t="str">
        <f>IFERROR(VLOOKUP(A214,庫存!$A:$I,2,0),"")</f>
        <v/>
      </c>
      <c r="C214" s="34" t="str">
        <f>IFERROR(VLOOKUP(A214,庫存!$A:$I,3,0),"")</f>
        <v/>
      </c>
      <c r="D214" s="54"/>
      <c r="E214" s="35" t="str">
        <f t="shared" si="6"/>
        <v/>
      </c>
      <c r="F214" s="45" t="str">
        <f>IFERROR(VLOOKUP(A214,庫存!$A:$I,4,0),"0")</f>
        <v>0</v>
      </c>
      <c r="G214" s="43" t="str">
        <f t="shared" si="7"/>
        <v/>
      </c>
      <c r="H214" s="24" t="str">
        <f>IFERROR(VLOOKUP(A214,庫存!$A:$I,8,0),"")</f>
        <v/>
      </c>
      <c r="I214" s="24" t="str">
        <f>IFERROR(VLOOKUP(A214,庫存!$A:$I,9,0),"")</f>
        <v/>
      </c>
    </row>
    <row r="215" spans="1:9" ht="23" customHeight="1" x14ac:dyDescent="0.35">
      <c r="A215" s="57"/>
      <c r="B215" s="34" t="str">
        <f>IFERROR(VLOOKUP(A215,庫存!$A:$I,2,0),"")</f>
        <v/>
      </c>
      <c r="C215" s="34" t="str">
        <f>IFERROR(VLOOKUP(A215,庫存!$A:$I,3,0),"")</f>
        <v/>
      </c>
      <c r="D215" s="54"/>
      <c r="E215" s="35" t="str">
        <f t="shared" si="6"/>
        <v/>
      </c>
      <c r="F215" s="45" t="str">
        <f>IFERROR(VLOOKUP(A215,庫存!$A:$I,4,0),"0")</f>
        <v>0</v>
      </c>
      <c r="G215" s="43" t="str">
        <f t="shared" si="7"/>
        <v/>
      </c>
      <c r="H215" s="24" t="str">
        <f>IFERROR(VLOOKUP(A215,庫存!$A:$I,8,0),"")</f>
        <v/>
      </c>
      <c r="I215" s="24" t="str">
        <f>IFERROR(VLOOKUP(A215,庫存!$A:$I,9,0),"")</f>
        <v/>
      </c>
    </row>
    <row r="216" spans="1:9" ht="23" customHeight="1" x14ac:dyDescent="0.35">
      <c r="A216" s="57"/>
      <c r="B216" s="34" t="str">
        <f>IFERROR(VLOOKUP(A216,庫存!$A:$I,2,0),"")</f>
        <v/>
      </c>
      <c r="C216" s="34" t="str">
        <f>IFERROR(VLOOKUP(A216,庫存!$A:$I,3,0),"")</f>
        <v/>
      </c>
      <c r="D216" s="54"/>
      <c r="E216" s="35" t="str">
        <f t="shared" si="6"/>
        <v/>
      </c>
      <c r="F216" s="45" t="str">
        <f>IFERROR(VLOOKUP(A216,庫存!$A:$I,4,0),"0")</f>
        <v>0</v>
      </c>
      <c r="G216" s="43" t="str">
        <f t="shared" si="7"/>
        <v/>
      </c>
      <c r="H216" s="24" t="str">
        <f>IFERROR(VLOOKUP(A216,庫存!$A:$I,8,0),"")</f>
        <v/>
      </c>
      <c r="I216" s="24" t="str">
        <f>IFERROR(VLOOKUP(A216,庫存!$A:$I,9,0),"")</f>
        <v/>
      </c>
    </row>
    <row r="217" spans="1:9" ht="23" customHeight="1" x14ac:dyDescent="0.35">
      <c r="A217" s="57"/>
      <c r="B217" s="34" t="str">
        <f>IFERROR(VLOOKUP(A217,庫存!$A:$I,2,0),"")</f>
        <v/>
      </c>
      <c r="C217" s="34" t="str">
        <f>IFERROR(VLOOKUP(A217,庫存!$A:$I,3,0),"")</f>
        <v/>
      </c>
      <c r="D217" s="54"/>
      <c r="E217" s="35" t="str">
        <f t="shared" si="6"/>
        <v/>
      </c>
      <c r="F217" s="45" t="str">
        <f>IFERROR(VLOOKUP(A217,庫存!$A:$I,4,0),"0")</f>
        <v>0</v>
      </c>
      <c r="G217" s="43" t="str">
        <f t="shared" si="7"/>
        <v/>
      </c>
      <c r="H217" s="24" t="str">
        <f>IFERROR(VLOOKUP(A217,庫存!$A:$I,8,0),"")</f>
        <v/>
      </c>
      <c r="I217" s="24" t="str">
        <f>IFERROR(VLOOKUP(A217,庫存!$A:$I,9,0),"")</f>
        <v/>
      </c>
    </row>
    <row r="218" spans="1:9" ht="23" customHeight="1" x14ac:dyDescent="0.35">
      <c r="A218" s="57"/>
      <c r="B218" s="34" t="str">
        <f>IFERROR(VLOOKUP(A218,庫存!$A:$I,2,0),"")</f>
        <v/>
      </c>
      <c r="C218" s="34" t="str">
        <f>IFERROR(VLOOKUP(A218,庫存!$A:$I,3,0),"")</f>
        <v/>
      </c>
      <c r="D218" s="54"/>
      <c r="E218" s="35" t="str">
        <f t="shared" si="6"/>
        <v/>
      </c>
      <c r="F218" s="45" t="str">
        <f>IFERROR(VLOOKUP(A218,庫存!$A:$I,4,0),"0")</f>
        <v>0</v>
      </c>
      <c r="G218" s="43" t="str">
        <f t="shared" si="7"/>
        <v/>
      </c>
      <c r="H218" s="24" t="str">
        <f>IFERROR(VLOOKUP(A218,庫存!$A:$I,8,0),"")</f>
        <v/>
      </c>
      <c r="I218" s="24" t="str">
        <f>IFERROR(VLOOKUP(A218,庫存!$A:$I,9,0),"")</f>
        <v/>
      </c>
    </row>
    <row r="219" spans="1:9" ht="23" customHeight="1" x14ac:dyDescent="0.35">
      <c r="A219" s="57"/>
      <c r="B219" s="34" t="str">
        <f>IFERROR(VLOOKUP(A219,庫存!$A:$I,2,0),"")</f>
        <v/>
      </c>
      <c r="C219" s="34" t="str">
        <f>IFERROR(VLOOKUP(A219,庫存!$A:$I,3,0),"")</f>
        <v/>
      </c>
      <c r="D219" s="54"/>
      <c r="E219" s="35" t="str">
        <f t="shared" si="6"/>
        <v/>
      </c>
      <c r="F219" s="45" t="str">
        <f>IFERROR(VLOOKUP(A219,庫存!$A:$I,4,0),"0")</f>
        <v>0</v>
      </c>
      <c r="G219" s="43" t="str">
        <f t="shared" si="7"/>
        <v/>
      </c>
      <c r="H219" s="24" t="str">
        <f>IFERROR(VLOOKUP(A219,庫存!$A:$I,8,0),"")</f>
        <v/>
      </c>
      <c r="I219" s="24" t="str">
        <f>IFERROR(VLOOKUP(A219,庫存!$A:$I,9,0),"")</f>
        <v/>
      </c>
    </row>
    <row r="220" spans="1:9" ht="23" customHeight="1" x14ac:dyDescent="0.35">
      <c r="A220" s="57"/>
      <c r="B220" s="34" t="str">
        <f>IFERROR(VLOOKUP(A220,庫存!$A:$I,2,0),"")</f>
        <v/>
      </c>
      <c r="C220" s="34" t="str">
        <f>IFERROR(VLOOKUP(A220,庫存!$A:$I,3,0),"")</f>
        <v/>
      </c>
      <c r="D220" s="54"/>
      <c r="E220" s="35" t="str">
        <f t="shared" si="6"/>
        <v/>
      </c>
      <c r="F220" s="45" t="str">
        <f>IFERROR(VLOOKUP(A220,庫存!$A:$I,4,0),"0")</f>
        <v>0</v>
      </c>
      <c r="G220" s="43" t="str">
        <f t="shared" si="7"/>
        <v/>
      </c>
      <c r="H220" s="24" t="str">
        <f>IFERROR(VLOOKUP(A220,庫存!$A:$I,8,0),"")</f>
        <v/>
      </c>
      <c r="I220" s="24" t="str">
        <f>IFERROR(VLOOKUP(A220,庫存!$A:$I,9,0),"")</f>
        <v/>
      </c>
    </row>
    <row r="221" spans="1:9" ht="23" customHeight="1" x14ac:dyDescent="0.35">
      <c r="A221" s="57"/>
      <c r="B221" s="34" t="str">
        <f>IFERROR(VLOOKUP(A221,庫存!$A:$I,2,0),"")</f>
        <v/>
      </c>
      <c r="C221" s="34" t="str">
        <f>IFERROR(VLOOKUP(A221,庫存!$A:$I,3,0),"")</f>
        <v/>
      </c>
      <c r="D221" s="54"/>
      <c r="E221" s="35" t="str">
        <f t="shared" si="6"/>
        <v/>
      </c>
      <c r="F221" s="45" t="str">
        <f>IFERROR(VLOOKUP(A221,庫存!$A:$I,4,0),"0")</f>
        <v>0</v>
      </c>
      <c r="G221" s="43" t="str">
        <f t="shared" si="7"/>
        <v/>
      </c>
      <c r="H221" s="24" t="str">
        <f>IFERROR(VLOOKUP(A221,庫存!$A:$I,8,0),"")</f>
        <v/>
      </c>
      <c r="I221" s="24" t="str">
        <f>IFERROR(VLOOKUP(A221,庫存!$A:$I,9,0),"")</f>
        <v/>
      </c>
    </row>
    <row r="222" spans="1:9" ht="23" customHeight="1" x14ac:dyDescent="0.35">
      <c r="A222" s="57"/>
      <c r="B222" s="34" t="str">
        <f>IFERROR(VLOOKUP(A222,庫存!$A:$I,2,0),"")</f>
        <v/>
      </c>
      <c r="C222" s="34" t="str">
        <f>IFERROR(VLOOKUP(A222,庫存!$A:$I,3,0),"")</f>
        <v/>
      </c>
      <c r="D222" s="54"/>
      <c r="E222" s="35" t="str">
        <f t="shared" si="6"/>
        <v/>
      </c>
      <c r="F222" s="45" t="str">
        <f>IFERROR(VLOOKUP(A222,庫存!$A:$I,4,0),"0")</f>
        <v>0</v>
      </c>
      <c r="G222" s="43" t="str">
        <f t="shared" si="7"/>
        <v/>
      </c>
      <c r="H222" s="24" t="str">
        <f>IFERROR(VLOOKUP(A222,庫存!$A:$I,8,0),"")</f>
        <v/>
      </c>
      <c r="I222" s="24" t="str">
        <f>IFERROR(VLOOKUP(A222,庫存!$A:$I,9,0),"")</f>
        <v/>
      </c>
    </row>
    <row r="223" spans="1:9" ht="23" customHeight="1" x14ac:dyDescent="0.35">
      <c r="A223" s="57"/>
      <c r="B223" s="34" t="str">
        <f>IFERROR(VLOOKUP(A223,庫存!$A:$I,2,0),"")</f>
        <v/>
      </c>
      <c r="C223" s="34" t="str">
        <f>IFERROR(VLOOKUP(A223,庫存!$A:$I,3,0),"")</f>
        <v/>
      </c>
      <c r="D223" s="54"/>
      <c r="E223" s="35" t="str">
        <f t="shared" si="6"/>
        <v/>
      </c>
      <c r="F223" s="45" t="str">
        <f>IFERROR(VLOOKUP(A223,庫存!$A:$I,4,0),"0")</f>
        <v>0</v>
      </c>
      <c r="G223" s="43" t="str">
        <f t="shared" si="7"/>
        <v/>
      </c>
      <c r="H223" s="24" t="str">
        <f>IFERROR(VLOOKUP(A223,庫存!$A:$I,8,0),"")</f>
        <v/>
      </c>
      <c r="I223" s="24" t="str">
        <f>IFERROR(VLOOKUP(A223,庫存!$A:$I,9,0),"")</f>
        <v/>
      </c>
    </row>
    <row r="224" spans="1:9" ht="23" customHeight="1" x14ac:dyDescent="0.35">
      <c r="A224" s="57"/>
      <c r="B224" s="34" t="str">
        <f>IFERROR(VLOOKUP(A224,庫存!$A:$I,2,0),"")</f>
        <v/>
      </c>
      <c r="C224" s="34" t="str">
        <f>IFERROR(VLOOKUP(A224,庫存!$A:$I,3,0),"")</f>
        <v/>
      </c>
      <c r="D224" s="54"/>
      <c r="E224" s="35" t="str">
        <f t="shared" si="6"/>
        <v/>
      </c>
      <c r="F224" s="45" t="str">
        <f>IFERROR(VLOOKUP(A224,庫存!$A:$I,4,0),"0")</f>
        <v>0</v>
      </c>
      <c r="G224" s="43" t="str">
        <f t="shared" si="7"/>
        <v/>
      </c>
      <c r="H224" s="24" t="str">
        <f>IFERROR(VLOOKUP(A224,庫存!$A:$I,8,0),"")</f>
        <v/>
      </c>
      <c r="I224" s="24" t="str">
        <f>IFERROR(VLOOKUP(A224,庫存!$A:$I,9,0),"")</f>
        <v/>
      </c>
    </row>
    <row r="225" spans="1:9" ht="23" customHeight="1" x14ac:dyDescent="0.35">
      <c r="A225" s="57"/>
      <c r="B225" s="34" t="str">
        <f>IFERROR(VLOOKUP(A225,庫存!$A:$I,2,0),"")</f>
        <v/>
      </c>
      <c r="C225" s="34" t="str">
        <f>IFERROR(VLOOKUP(A225,庫存!$A:$I,3,0),"")</f>
        <v/>
      </c>
      <c r="D225" s="54"/>
      <c r="E225" s="35" t="str">
        <f t="shared" si="6"/>
        <v/>
      </c>
      <c r="F225" s="45" t="str">
        <f>IFERROR(VLOOKUP(A225,庫存!$A:$I,4,0),"0")</f>
        <v>0</v>
      </c>
      <c r="G225" s="43" t="str">
        <f t="shared" si="7"/>
        <v/>
      </c>
      <c r="H225" s="24" t="str">
        <f>IFERROR(VLOOKUP(A225,庫存!$A:$I,8,0),"")</f>
        <v/>
      </c>
      <c r="I225" s="24" t="str">
        <f>IFERROR(VLOOKUP(A225,庫存!$A:$I,9,0),"")</f>
        <v/>
      </c>
    </row>
    <row r="226" spans="1:9" ht="23" customHeight="1" x14ac:dyDescent="0.35">
      <c r="A226" s="57"/>
      <c r="B226" s="34" t="str">
        <f>IFERROR(VLOOKUP(A226,庫存!$A:$I,2,0),"")</f>
        <v/>
      </c>
      <c r="C226" s="34" t="str">
        <f>IFERROR(VLOOKUP(A226,庫存!$A:$I,3,0),"")</f>
        <v/>
      </c>
      <c r="D226" s="54"/>
      <c r="E226" s="35" t="str">
        <f t="shared" si="6"/>
        <v/>
      </c>
      <c r="F226" s="45" t="str">
        <f>IFERROR(VLOOKUP(A226,庫存!$A:$I,4,0),"0")</f>
        <v>0</v>
      </c>
      <c r="G226" s="43" t="str">
        <f t="shared" si="7"/>
        <v/>
      </c>
      <c r="H226" s="24" t="str">
        <f>IFERROR(VLOOKUP(A226,庫存!$A:$I,8,0),"")</f>
        <v/>
      </c>
      <c r="I226" s="24" t="str">
        <f>IFERROR(VLOOKUP(A226,庫存!$A:$I,9,0),"")</f>
        <v/>
      </c>
    </row>
    <row r="227" spans="1:9" ht="23" customHeight="1" x14ac:dyDescent="0.35">
      <c r="A227" s="57"/>
      <c r="B227" s="34" t="str">
        <f>IFERROR(VLOOKUP(A227,庫存!$A:$I,2,0),"")</f>
        <v/>
      </c>
      <c r="C227" s="34" t="str">
        <f>IFERROR(VLOOKUP(A227,庫存!$A:$I,3,0),"")</f>
        <v/>
      </c>
      <c r="D227" s="54"/>
      <c r="E227" s="35" t="str">
        <f t="shared" si="6"/>
        <v/>
      </c>
      <c r="F227" s="45" t="str">
        <f>IFERROR(VLOOKUP(A227,庫存!$A:$I,4,0),"0")</f>
        <v>0</v>
      </c>
      <c r="G227" s="43" t="str">
        <f t="shared" si="7"/>
        <v/>
      </c>
      <c r="H227" s="24" t="str">
        <f>IFERROR(VLOOKUP(A227,庫存!$A:$I,8,0),"")</f>
        <v/>
      </c>
      <c r="I227" s="24" t="str">
        <f>IFERROR(VLOOKUP(A227,庫存!$A:$I,9,0),"")</f>
        <v/>
      </c>
    </row>
    <row r="228" spans="1:9" ht="23" customHeight="1" x14ac:dyDescent="0.35">
      <c r="A228" s="57"/>
      <c r="B228" s="34" t="str">
        <f>IFERROR(VLOOKUP(A228,庫存!$A:$I,2,0),"")</f>
        <v/>
      </c>
      <c r="C228" s="34" t="str">
        <f>IFERROR(VLOOKUP(A228,庫存!$A:$I,3,0),"")</f>
        <v/>
      </c>
      <c r="D228" s="54"/>
      <c r="E228" s="35" t="str">
        <f t="shared" si="6"/>
        <v/>
      </c>
      <c r="F228" s="45" t="str">
        <f>IFERROR(VLOOKUP(A228,庫存!$A:$I,4,0),"0")</f>
        <v>0</v>
      </c>
      <c r="G228" s="43" t="str">
        <f t="shared" si="7"/>
        <v/>
      </c>
      <c r="H228" s="24" t="str">
        <f>IFERROR(VLOOKUP(A228,庫存!$A:$I,8,0),"")</f>
        <v/>
      </c>
      <c r="I228" s="24" t="str">
        <f>IFERROR(VLOOKUP(A228,庫存!$A:$I,9,0),"")</f>
        <v/>
      </c>
    </row>
    <row r="229" spans="1:9" ht="23" customHeight="1" x14ac:dyDescent="0.35">
      <c r="A229" s="57"/>
      <c r="B229" s="34" t="str">
        <f>IFERROR(VLOOKUP(A229,庫存!$A:$I,2,0),"")</f>
        <v/>
      </c>
      <c r="C229" s="34" t="str">
        <f>IFERROR(VLOOKUP(A229,庫存!$A:$I,3,0),"")</f>
        <v/>
      </c>
      <c r="D229" s="54"/>
      <c r="E229" s="35" t="str">
        <f t="shared" si="6"/>
        <v/>
      </c>
      <c r="F229" s="45" t="str">
        <f>IFERROR(VLOOKUP(A229,庫存!$A:$I,4,0),"0")</f>
        <v>0</v>
      </c>
      <c r="G229" s="43" t="str">
        <f t="shared" si="7"/>
        <v/>
      </c>
      <c r="H229" s="24" t="str">
        <f>IFERROR(VLOOKUP(A229,庫存!$A:$I,8,0),"")</f>
        <v/>
      </c>
      <c r="I229" s="24" t="str">
        <f>IFERROR(VLOOKUP(A229,庫存!$A:$I,9,0),"")</f>
        <v/>
      </c>
    </row>
    <row r="230" spans="1:9" ht="23" customHeight="1" x14ac:dyDescent="0.35">
      <c r="A230" s="57"/>
      <c r="B230" s="34" t="str">
        <f>IFERROR(VLOOKUP(A230,庫存!$A:$I,2,0),"")</f>
        <v/>
      </c>
      <c r="C230" s="34" t="str">
        <f>IFERROR(VLOOKUP(A230,庫存!$A:$I,3,0),"")</f>
        <v/>
      </c>
      <c r="D230" s="54"/>
      <c r="E230" s="35" t="str">
        <f t="shared" si="6"/>
        <v/>
      </c>
      <c r="F230" s="45" t="str">
        <f>IFERROR(VLOOKUP(A230,庫存!$A:$I,4,0),"0")</f>
        <v>0</v>
      </c>
      <c r="G230" s="43" t="str">
        <f t="shared" si="7"/>
        <v/>
      </c>
      <c r="H230" s="24" t="str">
        <f>IFERROR(VLOOKUP(A230,庫存!$A:$I,8,0),"")</f>
        <v/>
      </c>
      <c r="I230" s="24" t="str">
        <f>IFERROR(VLOOKUP(A230,庫存!$A:$I,9,0),"")</f>
        <v/>
      </c>
    </row>
    <row r="231" spans="1:9" ht="23" customHeight="1" x14ac:dyDescent="0.35">
      <c r="A231" s="57"/>
      <c r="B231" s="34" t="str">
        <f>IFERROR(VLOOKUP(A231,庫存!$A:$I,2,0),"")</f>
        <v/>
      </c>
      <c r="C231" s="34" t="str">
        <f>IFERROR(VLOOKUP(A231,庫存!$A:$I,3,0),"")</f>
        <v/>
      </c>
      <c r="D231" s="54"/>
      <c r="E231" s="35" t="str">
        <f t="shared" si="6"/>
        <v/>
      </c>
      <c r="F231" s="45" t="str">
        <f>IFERROR(VLOOKUP(A231,庫存!$A:$I,4,0),"0")</f>
        <v>0</v>
      </c>
      <c r="G231" s="43" t="str">
        <f t="shared" si="7"/>
        <v/>
      </c>
      <c r="H231" s="24" t="str">
        <f>IFERROR(VLOOKUP(A231,庫存!$A:$I,8,0),"")</f>
        <v/>
      </c>
      <c r="I231" s="24" t="str">
        <f>IFERROR(VLOOKUP(A231,庫存!$A:$I,9,0),"")</f>
        <v/>
      </c>
    </row>
    <row r="232" spans="1:9" ht="23" customHeight="1" x14ac:dyDescent="0.35">
      <c r="A232" s="57"/>
      <c r="B232" s="34" t="str">
        <f>IFERROR(VLOOKUP(A232,庫存!$A:$I,2,0),"")</f>
        <v/>
      </c>
      <c r="C232" s="34" t="str">
        <f>IFERROR(VLOOKUP(A232,庫存!$A:$I,3,0),"")</f>
        <v/>
      </c>
      <c r="D232" s="54"/>
      <c r="E232" s="35" t="str">
        <f t="shared" si="6"/>
        <v/>
      </c>
      <c r="F232" s="45" t="str">
        <f>IFERROR(VLOOKUP(A232,庫存!$A:$I,4,0),"0")</f>
        <v>0</v>
      </c>
      <c r="G232" s="43" t="str">
        <f t="shared" si="7"/>
        <v/>
      </c>
      <c r="H232" s="24" t="str">
        <f>IFERROR(VLOOKUP(A232,庫存!$A:$I,8,0),"")</f>
        <v/>
      </c>
      <c r="I232" s="24" t="str">
        <f>IFERROR(VLOOKUP(A232,庫存!$A:$I,9,0),"")</f>
        <v/>
      </c>
    </row>
    <row r="233" spans="1:9" ht="23" customHeight="1" x14ac:dyDescent="0.35">
      <c r="A233" s="57"/>
      <c r="B233" s="34" t="str">
        <f>IFERROR(VLOOKUP(A233,庫存!$A:$I,2,0),"")</f>
        <v/>
      </c>
      <c r="C233" s="34" t="str">
        <f>IFERROR(VLOOKUP(A233,庫存!$A:$I,3,0),"")</f>
        <v/>
      </c>
      <c r="D233" s="54"/>
      <c r="E233" s="35" t="str">
        <f t="shared" si="6"/>
        <v/>
      </c>
      <c r="F233" s="45" t="str">
        <f>IFERROR(VLOOKUP(A233,庫存!$A:$I,4,0),"0")</f>
        <v>0</v>
      </c>
      <c r="G233" s="43" t="str">
        <f t="shared" si="7"/>
        <v/>
      </c>
      <c r="H233" s="24" t="str">
        <f>IFERROR(VLOOKUP(A233,庫存!$A:$I,8,0),"")</f>
        <v/>
      </c>
      <c r="I233" s="24" t="str">
        <f>IFERROR(VLOOKUP(A233,庫存!$A:$I,9,0),"")</f>
        <v/>
      </c>
    </row>
    <row r="234" spans="1:9" ht="23" customHeight="1" x14ac:dyDescent="0.35">
      <c r="A234" s="57"/>
      <c r="B234" s="34" t="str">
        <f>IFERROR(VLOOKUP(A234,庫存!$A:$I,2,0),"")</f>
        <v/>
      </c>
      <c r="C234" s="34" t="str">
        <f>IFERROR(VLOOKUP(A234,庫存!$A:$I,3,0),"")</f>
        <v/>
      </c>
      <c r="D234" s="54"/>
      <c r="E234" s="35" t="str">
        <f t="shared" si="6"/>
        <v/>
      </c>
      <c r="F234" s="45" t="str">
        <f>IFERROR(VLOOKUP(A234,庫存!$A:$I,4,0),"0")</f>
        <v>0</v>
      </c>
      <c r="G234" s="43" t="str">
        <f t="shared" si="7"/>
        <v/>
      </c>
      <c r="H234" s="24" t="str">
        <f>IFERROR(VLOOKUP(A234,庫存!$A:$I,8,0),"")</f>
        <v/>
      </c>
      <c r="I234" s="24" t="str">
        <f>IFERROR(VLOOKUP(A234,庫存!$A:$I,9,0),"")</f>
        <v/>
      </c>
    </row>
    <row r="235" spans="1:9" ht="23" customHeight="1" x14ac:dyDescent="0.35">
      <c r="A235" s="57"/>
      <c r="B235" s="34" t="str">
        <f>IFERROR(VLOOKUP(A235,庫存!$A:$I,2,0),"")</f>
        <v/>
      </c>
      <c r="C235" s="34" t="str">
        <f>IFERROR(VLOOKUP(A235,庫存!$A:$I,3,0),"")</f>
        <v/>
      </c>
      <c r="D235" s="54"/>
      <c r="E235" s="35" t="str">
        <f t="shared" si="6"/>
        <v/>
      </c>
      <c r="F235" s="45" t="str">
        <f>IFERROR(VLOOKUP(A235,庫存!$A:$I,4,0),"0")</f>
        <v>0</v>
      </c>
      <c r="G235" s="43" t="str">
        <f t="shared" si="7"/>
        <v/>
      </c>
      <c r="H235" s="24" t="str">
        <f>IFERROR(VLOOKUP(A235,庫存!$A:$I,8,0),"")</f>
        <v/>
      </c>
      <c r="I235" s="24" t="str">
        <f>IFERROR(VLOOKUP(A235,庫存!$A:$I,9,0),"")</f>
        <v/>
      </c>
    </row>
    <row r="236" spans="1:9" ht="23" customHeight="1" x14ac:dyDescent="0.35">
      <c r="A236" s="57"/>
      <c r="B236" s="34" t="str">
        <f>IFERROR(VLOOKUP(A236,庫存!$A:$I,2,0),"")</f>
        <v/>
      </c>
      <c r="C236" s="34" t="str">
        <f>IFERROR(VLOOKUP(A236,庫存!$A:$I,3,0),"")</f>
        <v/>
      </c>
      <c r="D236" s="54"/>
      <c r="E236" s="35" t="str">
        <f t="shared" si="6"/>
        <v/>
      </c>
      <c r="F236" s="45" t="str">
        <f>IFERROR(VLOOKUP(A236,庫存!$A:$I,4,0),"0")</f>
        <v>0</v>
      </c>
      <c r="G236" s="43" t="str">
        <f t="shared" si="7"/>
        <v/>
      </c>
      <c r="H236" s="24" t="str">
        <f>IFERROR(VLOOKUP(A236,庫存!$A:$I,8,0),"")</f>
        <v/>
      </c>
      <c r="I236" s="24" t="str">
        <f>IFERROR(VLOOKUP(A236,庫存!$A:$I,9,0),"")</f>
        <v/>
      </c>
    </row>
    <row r="237" spans="1:9" ht="23" customHeight="1" x14ac:dyDescent="0.35">
      <c r="A237" s="57"/>
      <c r="B237" s="34" t="str">
        <f>IFERROR(VLOOKUP(A237,庫存!$A:$I,2,0),"")</f>
        <v/>
      </c>
      <c r="C237" s="34" t="str">
        <f>IFERROR(VLOOKUP(A237,庫存!$A:$I,3,0),"")</f>
        <v/>
      </c>
      <c r="D237" s="54"/>
      <c r="E237" s="35" t="str">
        <f t="shared" si="6"/>
        <v/>
      </c>
      <c r="F237" s="45" t="str">
        <f>IFERROR(VLOOKUP(A237,庫存!$A:$I,4,0),"0")</f>
        <v>0</v>
      </c>
      <c r="G237" s="43" t="str">
        <f t="shared" si="7"/>
        <v/>
      </c>
      <c r="H237" s="24" t="str">
        <f>IFERROR(VLOOKUP(A237,庫存!$A:$I,8,0),"")</f>
        <v/>
      </c>
      <c r="I237" s="24" t="str">
        <f>IFERROR(VLOOKUP(A237,庫存!$A:$I,9,0),"")</f>
        <v/>
      </c>
    </row>
    <row r="238" spans="1:9" ht="23" customHeight="1" x14ac:dyDescent="0.35">
      <c r="A238" s="57"/>
      <c r="B238" s="34" t="str">
        <f>IFERROR(VLOOKUP(A238,庫存!$A:$I,2,0),"")</f>
        <v/>
      </c>
      <c r="C238" s="34" t="str">
        <f>IFERROR(VLOOKUP(A238,庫存!$A:$I,3,0),"")</f>
        <v/>
      </c>
      <c r="D238" s="54"/>
      <c r="E238" s="35" t="str">
        <f t="shared" si="6"/>
        <v/>
      </c>
      <c r="F238" s="45" t="str">
        <f>IFERROR(VLOOKUP(A238,庫存!$A:$I,4,0),"0")</f>
        <v>0</v>
      </c>
      <c r="G238" s="43" t="str">
        <f t="shared" si="7"/>
        <v/>
      </c>
      <c r="H238" s="24" t="str">
        <f>IFERROR(VLOOKUP(A238,庫存!$A:$I,8,0),"")</f>
        <v/>
      </c>
      <c r="I238" s="24" t="str">
        <f>IFERROR(VLOOKUP(A238,庫存!$A:$I,9,0),"")</f>
        <v/>
      </c>
    </row>
    <row r="239" spans="1:9" ht="23" customHeight="1" x14ac:dyDescent="0.35">
      <c r="A239" s="57"/>
      <c r="B239" s="34" t="str">
        <f>IFERROR(VLOOKUP(A239,庫存!$A:$I,2,0),"")</f>
        <v/>
      </c>
      <c r="C239" s="34" t="str">
        <f>IFERROR(VLOOKUP(A239,庫存!$A:$I,3,0),"")</f>
        <v/>
      </c>
      <c r="D239" s="54"/>
      <c r="E239" s="35" t="str">
        <f t="shared" si="6"/>
        <v/>
      </c>
      <c r="F239" s="45" t="str">
        <f>IFERROR(VLOOKUP(A239,庫存!$A:$I,4,0),"0")</f>
        <v>0</v>
      </c>
      <c r="G239" s="43" t="str">
        <f t="shared" si="7"/>
        <v/>
      </c>
      <c r="H239" s="24" t="str">
        <f>IFERROR(VLOOKUP(A239,庫存!$A:$I,8,0),"")</f>
        <v/>
      </c>
      <c r="I239" s="24" t="str">
        <f>IFERROR(VLOOKUP(A239,庫存!$A:$I,9,0),"")</f>
        <v/>
      </c>
    </row>
    <row r="240" spans="1:9" ht="23" customHeight="1" x14ac:dyDescent="0.35">
      <c r="A240" s="57"/>
      <c r="B240" s="34" t="str">
        <f>IFERROR(VLOOKUP(A240,庫存!$A:$I,2,0),"")</f>
        <v/>
      </c>
      <c r="C240" s="34" t="str">
        <f>IFERROR(VLOOKUP(A240,庫存!$A:$I,3,0),"")</f>
        <v/>
      </c>
      <c r="D240" s="54"/>
      <c r="E240" s="35" t="str">
        <f t="shared" si="6"/>
        <v/>
      </c>
      <c r="F240" s="45" t="str">
        <f>IFERROR(VLOOKUP(A240,庫存!$A:$I,4,0),"0")</f>
        <v>0</v>
      </c>
      <c r="G240" s="43" t="str">
        <f t="shared" si="7"/>
        <v/>
      </c>
      <c r="H240" s="24" t="str">
        <f>IFERROR(VLOOKUP(A240,庫存!$A:$I,8,0),"")</f>
        <v/>
      </c>
      <c r="I240" s="24" t="str">
        <f>IFERROR(VLOOKUP(A240,庫存!$A:$I,9,0),"")</f>
        <v/>
      </c>
    </row>
    <row r="241" spans="1:9" ht="23" customHeight="1" x14ac:dyDescent="0.35">
      <c r="A241" s="57"/>
      <c r="B241" s="34" t="str">
        <f>IFERROR(VLOOKUP(A241,庫存!$A:$I,2,0),"")</f>
        <v/>
      </c>
      <c r="C241" s="34" t="str">
        <f>IFERROR(VLOOKUP(A241,庫存!$A:$I,3,0),"")</f>
        <v/>
      </c>
      <c r="D241" s="54"/>
      <c r="E241" s="35" t="str">
        <f t="shared" si="6"/>
        <v/>
      </c>
      <c r="F241" s="45" t="str">
        <f>IFERROR(VLOOKUP(A241,庫存!$A:$I,4,0),"0")</f>
        <v>0</v>
      </c>
      <c r="G241" s="43" t="str">
        <f t="shared" si="7"/>
        <v/>
      </c>
      <c r="H241" s="24" t="str">
        <f>IFERROR(VLOOKUP(A241,庫存!$A:$I,8,0),"")</f>
        <v/>
      </c>
      <c r="I241" s="24" t="str">
        <f>IFERROR(VLOOKUP(A241,庫存!$A:$I,9,0),"")</f>
        <v/>
      </c>
    </row>
    <row r="242" spans="1:9" ht="23" customHeight="1" x14ac:dyDescent="0.35">
      <c r="A242" s="57"/>
      <c r="B242" s="34" t="str">
        <f>IFERROR(VLOOKUP(A242,庫存!$A:$I,2,0),"")</f>
        <v/>
      </c>
      <c r="C242" s="34" t="str">
        <f>IFERROR(VLOOKUP(A242,庫存!$A:$I,3,0),"")</f>
        <v/>
      </c>
      <c r="D242" s="54"/>
      <c r="E242" s="35" t="str">
        <f t="shared" si="6"/>
        <v/>
      </c>
      <c r="F242" s="45" t="str">
        <f>IFERROR(VLOOKUP(A242,庫存!$A:$I,4,0),"0")</f>
        <v>0</v>
      </c>
      <c r="G242" s="43" t="str">
        <f t="shared" si="7"/>
        <v/>
      </c>
      <c r="H242" s="24" t="str">
        <f>IFERROR(VLOOKUP(A242,庫存!$A:$I,8,0),"")</f>
        <v/>
      </c>
      <c r="I242" s="24" t="str">
        <f>IFERROR(VLOOKUP(A242,庫存!$A:$I,9,0),"")</f>
        <v/>
      </c>
    </row>
    <row r="243" spans="1:9" ht="23" customHeight="1" x14ac:dyDescent="0.35">
      <c r="A243" s="57"/>
      <c r="B243" s="34" t="str">
        <f>IFERROR(VLOOKUP(A243,庫存!$A:$I,2,0),"")</f>
        <v/>
      </c>
      <c r="C243" s="34" t="str">
        <f>IFERROR(VLOOKUP(A243,庫存!$A:$I,3,0),"")</f>
        <v/>
      </c>
      <c r="D243" s="54"/>
      <c r="E243" s="35" t="str">
        <f t="shared" si="6"/>
        <v/>
      </c>
      <c r="F243" s="45" t="str">
        <f>IFERROR(VLOOKUP(A243,庫存!$A:$I,4,0),"0")</f>
        <v>0</v>
      </c>
      <c r="G243" s="43" t="str">
        <f t="shared" si="7"/>
        <v/>
      </c>
      <c r="H243" s="24" t="str">
        <f>IFERROR(VLOOKUP(A243,庫存!$A:$I,8,0),"")</f>
        <v/>
      </c>
      <c r="I243" s="24" t="str">
        <f>IFERROR(VLOOKUP(A243,庫存!$A:$I,9,0),"")</f>
        <v/>
      </c>
    </row>
    <row r="244" spans="1:9" ht="23" customHeight="1" x14ac:dyDescent="0.35">
      <c r="A244" s="57"/>
      <c r="B244" s="34" t="str">
        <f>IFERROR(VLOOKUP(A244,庫存!$A:$I,2,0),"")</f>
        <v/>
      </c>
      <c r="C244" s="34" t="str">
        <f>IFERROR(VLOOKUP(A244,庫存!$A:$I,3,0),"")</f>
        <v/>
      </c>
      <c r="D244" s="54"/>
      <c r="E244" s="35" t="str">
        <f t="shared" si="6"/>
        <v/>
      </c>
      <c r="F244" s="45" t="str">
        <f>IFERROR(VLOOKUP(A244,庫存!$A:$I,4,0),"0")</f>
        <v>0</v>
      </c>
      <c r="G244" s="43" t="str">
        <f t="shared" si="7"/>
        <v/>
      </c>
      <c r="H244" s="24" t="str">
        <f>IFERROR(VLOOKUP(A244,庫存!$A:$I,8,0),"")</f>
        <v/>
      </c>
      <c r="I244" s="24" t="str">
        <f>IFERROR(VLOOKUP(A244,庫存!$A:$I,9,0),"")</f>
        <v/>
      </c>
    </row>
    <row r="245" spans="1:9" ht="23" customHeight="1" x14ac:dyDescent="0.35">
      <c r="A245" s="57"/>
      <c r="B245" s="34" t="str">
        <f>IFERROR(VLOOKUP(A245,庫存!$A:$I,2,0),"")</f>
        <v/>
      </c>
      <c r="C245" s="34" t="str">
        <f>IFERROR(VLOOKUP(A245,庫存!$A:$I,3,0),"")</f>
        <v/>
      </c>
      <c r="D245" s="54"/>
      <c r="E245" s="35" t="str">
        <f t="shared" si="6"/>
        <v/>
      </c>
      <c r="F245" s="45" t="str">
        <f>IFERROR(VLOOKUP(A245,庫存!$A:$I,4,0),"0")</f>
        <v>0</v>
      </c>
      <c r="G245" s="43" t="str">
        <f t="shared" si="7"/>
        <v/>
      </c>
      <c r="H245" s="24" t="str">
        <f>IFERROR(VLOOKUP(A245,庫存!$A:$I,8,0),"")</f>
        <v/>
      </c>
      <c r="I245" s="24" t="str">
        <f>IFERROR(VLOOKUP(A245,庫存!$A:$I,9,0),"")</f>
        <v/>
      </c>
    </row>
    <row r="246" spans="1:9" ht="23" customHeight="1" x14ac:dyDescent="0.35">
      <c r="A246" s="57"/>
      <c r="B246" s="34" t="str">
        <f>IFERROR(VLOOKUP(A246,庫存!$A:$I,2,0),"")</f>
        <v/>
      </c>
      <c r="C246" s="34" t="str">
        <f>IFERROR(VLOOKUP(A246,庫存!$A:$I,3,0),"")</f>
        <v/>
      </c>
      <c r="D246" s="54"/>
      <c r="E246" s="35" t="str">
        <f t="shared" si="6"/>
        <v/>
      </c>
      <c r="F246" s="45" t="str">
        <f>IFERROR(VLOOKUP(A246,庫存!$A:$I,4,0),"0")</f>
        <v>0</v>
      </c>
      <c r="G246" s="43" t="str">
        <f t="shared" si="7"/>
        <v/>
      </c>
      <c r="H246" s="24" t="str">
        <f>IFERROR(VLOOKUP(A246,庫存!$A:$I,8,0),"")</f>
        <v/>
      </c>
      <c r="I246" s="24" t="str">
        <f>IFERROR(VLOOKUP(A246,庫存!$A:$I,9,0),"")</f>
        <v/>
      </c>
    </row>
    <row r="247" spans="1:9" ht="23" customHeight="1" x14ac:dyDescent="0.35">
      <c r="A247" s="57"/>
      <c r="B247" s="34" t="str">
        <f>IFERROR(VLOOKUP(A247,庫存!$A:$I,2,0),"")</f>
        <v/>
      </c>
      <c r="C247" s="34" t="str">
        <f>IFERROR(VLOOKUP(A247,庫存!$A:$I,3,0),"")</f>
        <v/>
      </c>
      <c r="D247" s="54"/>
      <c r="E247" s="35" t="str">
        <f t="shared" si="6"/>
        <v/>
      </c>
      <c r="F247" s="45" t="str">
        <f>IFERROR(VLOOKUP(A247,庫存!$A:$I,4,0),"0")</f>
        <v>0</v>
      </c>
      <c r="G247" s="43" t="str">
        <f t="shared" si="7"/>
        <v/>
      </c>
      <c r="H247" s="24" t="str">
        <f>IFERROR(VLOOKUP(A247,庫存!$A:$I,8,0),"")</f>
        <v/>
      </c>
      <c r="I247" s="24" t="str">
        <f>IFERROR(VLOOKUP(A247,庫存!$A:$I,9,0),"")</f>
        <v/>
      </c>
    </row>
    <row r="248" spans="1:9" ht="23" customHeight="1" x14ac:dyDescent="0.35">
      <c r="A248" s="57"/>
      <c r="B248" s="34" t="str">
        <f>IFERROR(VLOOKUP(A248,庫存!$A:$I,2,0),"")</f>
        <v/>
      </c>
      <c r="C248" s="34" t="str">
        <f>IFERROR(VLOOKUP(A248,庫存!$A:$I,3,0),"")</f>
        <v/>
      </c>
      <c r="D248" s="54"/>
      <c r="E248" s="35" t="str">
        <f t="shared" si="6"/>
        <v/>
      </c>
      <c r="F248" s="45" t="str">
        <f>IFERROR(VLOOKUP(A248,庫存!$A:$I,4,0),"0")</f>
        <v>0</v>
      </c>
      <c r="G248" s="43" t="str">
        <f t="shared" si="7"/>
        <v/>
      </c>
      <c r="H248" s="24" t="str">
        <f>IFERROR(VLOOKUP(A248,庫存!$A:$I,8,0),"")</f>
        <v/>
      </c>
      <c r="I248" s="24" t="str">
        <f>IFERROR(VLOOKUP(A248,庫存!$A:$I,9,0),"")</f>
        <v/>
      </c>
    </row>
    <row r="249" spans="1:9" ht="23" customHeight="1" x14ac:dyDescent="0.35">
      <c r="A249" s="57"/>
      <c r="B249" s="34" t="str">
        <f>IFERROR(VLOOKUP(A249,庫存!$A:$I,2,0),"")</f>
        <v/>
      </c>
      <c r="C249" s="34" t="str">
        <f>IFERROR(VLOOKUP(A249,庫存!$A:$I,3,0),"")</f>
        <v/>
      </c>
      <c r="D249" s="54"/>
      <c r="E249" s="35" t="str">
        <f t="shared" si="6"/>
        <v/>
      </c>
      <c r="F249" s="45" t="str">
        <f>IFERROR(VLOOKUP(A249,庫存!$A:$I,4,0),"0")</f>
        <v>0</v>
      </c>
      <c r="G249" s="43" t="str">
        <f t="shared" si="7"/>
        <v/>
      </c>
      <c r="H249" s="24" t="str">
        <f>IFERROR(VLOOKUP(A249,庫存!$A:$I,8,0),"")</f>
        <v/>
      </c>
      <c r="I249" s="24" t="str">
        <f>IFERROR(VLOOKUP(A249,庫存!$A:$I,9,0),"")</f>
        <v/>
      </c>
    </row>
    <row r="250" spans="1:9" ht="23" customHeight="1" x14ac:dyDescent="0.35">
      <c r="A250" s="57"/>
      <c r="B250" s="34" t="str">
        <f>IFERROR(VLOOKUP(A250,庫存!$A:$I,2,0),"")</f>
        <v/>
      </c>
      <c r="C250" s="34" t="str">
        <f>IFERROR(VLOOKUP(A250,庫存!$A:$I,3,0),"")</f>
        <v/>
      </c>
      <c r="D250" s="54"/>
      <c r="E250" s="35" t="str">
        <f t="shared" si="6"/>
        <v/>
      </c>
      <c r="F250" s="45" t="str">
        <f>IFERROR(VLOOKUP(A250,庫存!$A:$I,4,0),"0")</f>
        <v>0</v>
      </c>
      <c r="G250" s="43" t="str">
        <f t="shared" si="7"/>
        <v/>
      </c>
      <c r="H250" s="24" t="str">
        <f>IFERROR(VLOOKUP(A250,庫存!$A:$I,8,0),"")</f>
        <v/>
      </c>
      <c r="I250" s="24" t="str">
        <f>IFERROR(VLOOKUP(A250,庫存!$A:$I,9,0),"")</f>
        <v/>
      </c>
    </row>
    <row r="251" spans="1:9" ht="23" customHeight="1" x14ac:dyDescent="0.35">
      <c r="A251" s="57"/>
      <c r="B251" s="34" t="str">
        <f>IFERROR(VLOOKUP(A251,庫存!$A:$I,2,0),"")</f>
        <v/>
      </c>
      <c r="C251" s="34" t="str">
        <f>IFERROR(VLOOKUP(A251,庫存!$A:$I,3,0),"")</f>
        <v/>
      </c>
      <c r="D251" s="54"/>
      <c r="E251" s="35" t="str">
        <f t="shared" si="6"/>
        <v/>
      </c>
      <c r="F251" s="45" t="str">
        <f>IFERROR(VLOOKUP(A251,庫存!$A:$I,4,0),"0")</f>
        <v>0</v>
      </c>
      <c r="G251" s="43" t="str">
        <f t="shared" si="7"/>
        <v/>
      </c>
      <c r="H251" s="24" t="str">
        <f>IFERROR(VLOOKUP(A251,庫存!$A:$I,8,0),"")</f>
        <v/>
      </c>
      <c r="I251" s="24" t="str">
        <f>IFERROR(VLOOKUP(A251,庫存!$A:$I,9,0),"")</f>
        <v/>
      </c>
    </row>
    <row r="252" spans="1:9" ht="23" customHeight="1" x14ac:dyDescent="0.35">
      <c r="A252" s="57"/>
      <c r="B252" s="34" t="str">
        <f>IFERROR(VLOOKUP(A252,庫存!$A:$I,2,0),"")</f>
        <v/>
      </c>
      <c r="C252" s="34" t="str">
        <f>IFERROR(VLOOKUP(A252,庫存!$A:$I,3,0),"")</f>
        <v/>
      </c>
      <c r="D252" s="54"/>
      <c r="E252" s="35" t="str">
        <f t="shared" si="6"/>
        <v/>
      </c>
      <c r="F252" s="45" t="str">
        <f>IFERROR(VLOOKUP(A252,庫存!$A:$I,4,0),"0")</f>
        <v>0</v>
      </c>
      <c r="G252" s="43" t="str">
        <f t="shared" si="7"/>
        <v/>
      </c>
      <c r="H252" s="24" t="str">
        <f>IFERROR(VLOOKUP(A252,庫存!$A:$I,8,0),"")</f>
        <v/>
      </c>
      <c r="I252" s="24" t="str">
        <f>IFERROR(VLOOKUP(A252,庫存!$A:$I,9,0),"")</f>
        <v/>
      </c>
    </row>
    <row r="253" spans="1:9" ht="23" customHeight="1" x14ac:dyDescent="0.35">
      <c r="A253" s="57"/>
      <c r="B253" s="34" t="str">
        <f>IFERROR(VLOOKUP(A253,庫存!$A:$I,2,0),"")</f>
        <v/>
      </c>
      <c r="C253" s="34" t="str">
        <f>IFERROR(VLOOKUP(A253,庫存!$A:$I,3,0),"")</f>
        <v/>
      </c>
      <c r="D253" s="54"/>
      <c r="E253" s="35" t="str">
        <f t="shared" si="6"/>
        <v/>
      </c>
      <c r="F253" s="45" t="str">
        <f>IFERROR(VLOOKUP(A253,庫存!$A:$I,4,0),"0")</f>
        <v>0</v>
      </c>
      <c r="G253" s="43" t="str">
        <f t="shared" si="7"/>
        <v/>
      </c>
      <c r="H253" s="24" t="str">
        <f>IFERROR(VLOOKUP(A253,庫存!$A:$I,8,0),"")</f>
        <v/>
      </c>
      <c r="I253" s="24" t="str">
        <f>IFERROR(VLOOKUP(A253,庫存!$A:$I,9,0),"")</f>
        <v/>
      </c>
    </row>
    <row r="254" spans="1:9" ht="23" customHeight="1" x14ac:dyDescent="0.35">
      <c r="A254" s="57"/>
      <c r="B254" s="34" t="str">
        <f>IFERROR(VLOOKUP(A254,庫存!$A:$I,2,0),"")</f>
        <v/>
      </c>
      <c r="C254" s="34" t="str">
        <f>IFERROR(VLOOKUP(A254,庫存!$A:$I,3,0),"")</f>
        <v/>
      </c>
      <c r="D254" s="54"/>
      <c r="E254" s="35" t="str">
        <f t="shared" si="6"/>
        <v/>
      </c>
      <c r="F254" s="45" t="str">
        <f>IFERROR(VLOOKUP(A254,庫存!$A:$I,4,0),"0")</f>
        <v>0</v>
      </c>
      <c r="G254" s="43" t="str">
        <f t="shared" si="7"/>
        <v/>
      </c>
      <c r="H254" s="24" t="str">
        <f>IFERROR(VLOOKUP(A254,庫存!$A:$I,8,0),"")</f>
        <v/>
      </c>
      <c r="I254" s="24" t="str">
        <f>IFERROR(VLOOKUP(A254,庫存!$A:$I,9,0),"")</f>
        <v/>
      </c>
    </row>
    <row r="255" spans="1:9" ht="23" customHeight="1" x14ac:dyDescent="0.35">
      <c r="A255" s="57"/>
      <c r="B255" s="34" t="str">
        <f>IFERROR(VLOOKUP(A255,庫存!$A:$I,2,0),"")</f>
        <v/>
      </c>
      <c r="C255" s="34" t="str">
        <f>IFERROR(VLOOKUP(A255,庫存!$A:$I,3,0),"")</f>
        <v/>
      </c>
      <c r="D255" s="54"/>
      <c r="E255" s="35" t="str">
        <f t="shared" si="6"/>
        <v/>
      </c>
      <c r="F255" s="45" t="str">
        <f>IFERROR(VLOOKUP(A255,庫存!$A:$I,4,0),"0")</f>
        <v>0</v>
      </c>
      <c r="G255" s="43" t="str">
        <f t="shared" si="7"/>
        <v/>
      </c>
      <c r="H255" s="24" t="str">
        <f>IFERROR(VLOOKUP(A255,庫存!$A:$I,8,0),"")</f>
        <v/>
      </c>
      <c r="I255" s="24" t="str">
        <f>IFERROR(VLOOKUP(A255,庫存!$A:$I,9,0),"")</f>
        <v/>
      </c>
    </row>
    <row r="256" spans="1:9" ht="23" customHeight="1" x14ac:dyDescent="0.35">
      <c r="A256" s="57"/>
      <c r="B256" s="34" t="str">
        <f>IFERROR(VLOOKUP(A256,庫存!$A:$I,2,0),"")</f>
        <v/>
      </c>
      <c r="C256" s="34" t="str">
        <f>IFERROR(VLOOKUP(A256,庫存!$A:$I,3,0),"")</f>
        <v/>
      </c>
      <c r="D256" s="54"/>
      <c r="E256" s="35" t="str">
        <f t="shared" si="6"/>
        <v/>
      </c>
      <c r="F256" s="45" t="str">
        <f>IFERROR(VLOOKUP(A256,庫存!$A:$I,4,0),"0")</f>
        <v>0</v>
      </c>
      <c r="G256" s="43" t="str">
        <f t="shared" si="7"/>
        <v/>
      </c>
      <c r="H256" s="24" t="str">
        <f>IFERROR(VLOOKUP(A256,庫存!$A:$I,8,0),"")</f>
        <v/>
      </c>
      <c r="I256" s="24" t="str">
        <f>IFERROR(VLOOKUP(A256,庫存!$A:$I,9,0),"")</f>
        <v/>
      </c>
    </row>
    <row r="257" spans="1:9" ht="23" customHeight="1" x14ac:dyDescent="0.35">
      <c r="A257" s="57"/>
      <c r="B257" s="34" t="str">
        <f>IFERROR(VLOOKUP(A257,庫存!$A:$I,2,0),"")</f>
        <v/>
      </c>
      <c r="C257" s="34" t="str">
        <f>IFERROR(VLOOKUP(A257,庫存!$A:$I,3,0),"")</f>
        <v/>
      </c>
      <c r="D257" s="54"/>
      <c r="E257" s="35" t="str">
        <f t="shared" si="6"/>
        <v/>
      </c>
      <c r="F257" s="45" t="str">
        <f>IFERROR(VLOOKUP(A257,庫存!$A:$I,4,0),"0")</f>
        <v>0</v>
      </c>
      <c r="G257" s="43" t="str">
        <f t="shared" si="7"/>
        <v/>
      </c>
      <c r="H257" s="24" t="str">
        <f>IFERROR(VLOOKUP(A257,庫存!$A:$I,8,0),"")</f>
        <v/>
      </c>
      <c r="I257" s="24" t="str">
        <f>IFERROR(VLOOKUP(A257,庫存!$A:$I,9,0),"")</f>
        <v/>
      </c>
    </row>
    <row r="258" spans="1:9" ht="23" customHeight="1" x14ac:dyDescent="0.35">
      <c r="A258" s="57"/>
      <c r="B258" s="34" t="str">
        <f>IFERROR(VLOOKUP(A258,庫存!$A:$I,2,0),"")</f>
        <v/>
      </c>
      <c r="C258" s="34" t="str">
        <f>IFERROR(VLOOKUP(A258,庫存!$A:$I,3,0),"")</f>
        <v/>
      </c>
      <c r="D258" s="54"/>
      <c r="E258" s="35" t="str">
        <f t="shared" ref="E258:E321" si="8">IF(D258*$E$1=0,"",D258*$E$1)</f>
        <v/>
      </c>
      <c r="F258" s="45" t="str">
        <f>IFERROR(VLOOKUP(A258,庫存!$A:$I,4,0),"0")</f>
        <v>0</v>
      </c>
      <c r="G258" s="43" t="str">
        <f t="shared" ref="G258:G321" si="9">IFERROR(F258-E258,"")</f>
        <v/>
      </c>
      <c r="H258" s="24" t="str">
        <f>IFERROR(VLOOKUP(A258,庫存!$A:$I,8,0),"")</f>
        <v/>
      </c>
      <c r="I258" s="24" t="str">
        <f>IFERROR(VLOOKUP(A258,庫存!$A:$I,9,0),"")</f>
        <v/>
      </c>
    </row>
    <row r="259" spans="1:9" ht="23" customHeight="1" x14ac:dyDescent="0.35">
      <c r="A259" s="57"/>
      <c r="B259" s="34" t="str">
        <f>IFERROR(VLOOKUP(A259,庫存!$A:$I,2,0),"")</f>
        <v/>
      </c>
      <c r="C259" s="34" t="str">
        <f>IFERROR(VLOOKUP(A259,庫存!$A:$I,3,0),"")</f>
        <v/>
      </c>
      <c r="D259" s="54"/>
      <c r="E259" s="35" t="str">
        <f t="shared" si="8"/>
        <v/>
      </c>
      <c r="F259" s="45" t="str">
        <f>IFERROR(VLOOKUP(A259,庫存!$A:$I,4,0),"0")</f>
        <v>0</v>
      </c>
      <c r="G259" s="43" t="str">
        <f t="shared" si="9"/>
        <v/>
      </c>
      <c r="H259" s="24" t="str">
        <f>IFERROR(VLOOKUP(A259,庫存!$A:$I,8,0),"")</f>
        <v/>
      </c>
      <c r="I259" s="24" t="str">
        <f>IFERROR(VLOOKUP(A259,庫存!$A:$I,9,0),"")</f>
        <v/>
      </c>
    </row>
    <row r="260" spans="1:9" ht="23" customHeight="1" x14ac:dyDescent="0.35">
      <c r="A260" s="57"/>
      <c r="B260" s="34" t="str">
        <f>IFERROR(VLOOKUP(A260,庫存!$A:$I,2,0),"")</f>
        <v/>
      </c>
      <c r="C260" s="34" t="str">
        <f>IFERROR(VLOOKUP(A260,庫存!$A:$I,3,0),"")</f>
        <v/>
      </c>
      <c r="D260" s="54"/>
      <c r="E260" s="35" t="str">
        <f t="shared" si="8"/>
        <v/>
      </c>
      <c r="F260" s="45" t="str">
        <f>IFERROR(VLOOKUP(A260,庫存!$A:$I,4,0),"0")</f>
        <v>0</v>
      </c>
      <c r="G260" s="43" t="str">
        <f t="shared" si="9"/>
        <v/>
      </c>
      <c r="H260" s="24" t="str">
        <f>IFERROR(VLOOKUP(A260,庫存!$A:$I,8,0),"")</f>
        <v/>
      </c>
      <c r="I260" s="24" t="str">
        <f>IFERROR(VLOOKUP(A260,庫存!$A:$I,9,0),"")</f>
        <v/>
      </c>
    </row>
    <row r="261" spans="1:9" ht="23" customHeight="1" x14ac:dyDescent="0.35">
      <c r="A261" s="57"/>
      <c r="B261" s="34" t="str">
        <f>IFERROR(VLOOKUP(A261,庫存!$A:$I,2,0),"")</f>
        <v/>
      </c>
      <c r="C261" s="34" t="str">
        <f>IFERROR(VLOOKUP(A261,庫存!$A:$I,3,0),"")</f>
        <v/>
      </c>
      <c r="D261" s="54"/>
      <c r="E261" s="35" t="str">
        <f t="shared" si="8"/>
        <v/>
      </c>
      <c r="F261" s="45" t="str">
        <f>IFERROR(VLOOKUP(A261,庫存!$A:$I,4,0),"0")</f>
        <v>0</v>
      </c>
      <c r="G261" s="43" t="str">
        <f t="shared" si="9"/>
        <v/>
      </c>
      <c r="H261" s="24" t="str">
        <f>IFERROR(VLOOKUP(A261,庫存!$A:$I,8,0),"")</f>
        <v/>
      </c>
      <c r="I261" s="24" t="str">
        <f>IFERROR(VLOOKUP(A261,庫存!$A:$I,9,0),"")</f>
        <v/>
      </c>
    </row>
    <row r="262" spans="1:9" ht="23" customHeight="1" x14ac:dyDescent="0.35">
      <c r="A262" s="57"/>
      <c r="B262" s="34" t="str">
        <f>IFERROR(VLOOKUP(A262,庫存!$A:$I,2,0),"")</f>
        <v/>
      </c>
      <c r="C262" s="34" t="str">
        <f>IFERROR(VLOOKUP(A262,庫存!$A:$I,3,0),"")</f>
        <v/>
      </c>
      <c r="D262" s="54"/>
      <c r="E262" s="35" t="str">
        <f t="shared" si="8"/>
        <v/>
      </c>
      <c r="F262" s="45" t="str">
        <f>IFERROR(VLOOKUP(A262,庫存!$A:$I,4,0),"0")</f>
        <v>0</v>
      </c>
      <c r="G262" s="43" t="str">
        <f t="shared" si="9"/>
        <v/>
      </c>
      <c r="H262" s="24" t="str">
        <f>IFERROR(VLOOKUP(A262,庫存!$A:$I,8,0),"")</f>
        <v/>
      </c>
      <c r="I262" s="24" t="str">
        <f>IFERROR(VLOOKUP(A262,庫存!$A:$I,9,0),"")</f>
        <v/>
      </c>
    </row>
    <row r="263" spans="1:9" ht="23" customHeight="1" x14ac:dyDescent="0.35">
      <c r="A263" s="57"/>
      <c r="B263" s="34" t="str">
        <f>IFERROR(VLOOKUP(A263,庫存!$A:$I,2,0),"")</f>
        <v/>
      </c>
      <c r="C263" s="34" t="str">
        <f>IFERROR(VLOOKUP(A263,庫存!$A:$I,3,0),"")</f>
        <v/>
      </c>
      <c r="D263" s="54"/>
      <c r="E263" s="35" t="str">
        <f t="shared" si="8"/>
        <v/>
      </c>
      <c r="F263" s="45" t="str">
        <f>IFERROR(VLOOKUP(A263,庫存!$A:$I,4,0),"0")</f>
        <v>0</v>
      </c>
      <c r="G263" s="43" t="str">
        <f t="shared" si="9"/>
        <v/>
      </c>
      <c r="H263" s="24" t="str">
        <f>IFERROR(VLOOKUP(A263,庫存!$A:$I,8,0),"")</f>
        <v/>
      </c>
      <c r="I263" s="24" t="str">
        <f>IFERROR(VLOOKUP(A263,庫存!$A:$I,9,0),"")</f>
        <v/>
      </c>
    </row>
    <row r="264" spans="1:9" ht="23" customHeight="1" x14ac:dyDescent="0.35">
      <c r="A264" s="57"/>
      <c r="B264" s="34" t="str">
        <f>IFERROR(VLOOKUP(A264,庫存!$A:$I,2,0),"")</f>
        <v/>
      </c>
      <c r="C264" s="34" t="str">
        <f>IFERROR(VLOOKUP(A264,庫存!$A:$I,3,0),"")</f>
        <v/>
      </c>
      <c r="D264" s="54"/>
      <c r="E264" s="35" t="str">
        <f t="shared" si="8"/>
        <v/>
      </c>
      <c r="F264" s="45" t="str">
        <f>IFERROR(VLOOKUP(A264,庫存!$A:$I,4,0),"0")</f>
        <v>0</v>
      </c>
      <c r="G264" s="43" t="str">
        <f t="shared" si="9"/>
        <v/>
      </c>
      <c r="H264" s="24" t="str">
        <f>IFERROR(VLOOKUP(A264,庫存!$A:$I,8,0),"")</f>
        <v/>
      </c>
      <c r="I264" s="24" t="str">
        <f>IFERROR(VLOOKUP(A264,庫存!$A:$I,9,0),"")</f>
        <v/>
      </c>
    </row>
    <row r="265" spans="1:9" ht="23" customHeight="1" x14ac:dyDescent="0.35">
      <c r="A265" s="57"/>
      <c r="B265" s="34" t="str">
        <f>IFERROR(VLOOKUP(A265,庫存!$A:$I,2,0),"")</f>
        <v/>
      </c>
      <c r="C265" s="34" t="str">
        <f>IFERROR(VLOOKUP(A265,庫存!$A:$I,3,0),"")</f>
        <v/>
      </c>
      <c r="D265" s="54"/>
      <c r="E265" s="35" t="str">
        <f t="shared" si="8"/>
        <v/>
      </c>
      <c r="F265" s="45" t="str">
        <f>IFERROR(VLOOKUP(A265,庫存!$A:$I,4,0),"0")</f>
        <v>0</v>
      </c>
      <c r="G265" s="43" t="str">
        <f t="shared" si="9"/>
        <v/>
      </c>
      <c r="H265" s="24" t="str">
        <f>IFERROR(VLOOKUP(A265,庫存!$A:$I,8,0),"")</f>
        <v/>
      </c>
      <c r="I265" s="24" t="str">
        <f>IFERROR(VLOOKUP(A265,庫存!$A:$I,9,0),"")</f>
        <v/>
      </c>
    </row>
    <row r="266" spans="1:9" ht="23" customHeight="1" x14ac:dyDescent="0.35">
      <c r="A266" s="57"/>
      <c r="B266" s="34" t="str">
        <f>IFERROR(VLOOKUP(A266,庫存!$A:$I,2,0),"")</f>
        <v/>
      </c>
      <c r="C266" s="34" t="str">
        <f>IFERROR(VLOOKUP(A266,庫存!$A:$I,3,0),"")</f>
        <v/>
      </c>
      <c r="D266" s="54"/>
      <c r="E266" s="35" t="str">
        <f t="shared" si="8"/>
        <v/>
      </c>
      <c r="F266" s="45" t="str">
        <f>IFERROR(VLOOKUP(A266,庫存!$A:$I,4,0),"0")</f>
        <v>0</v>
      </c>
      <c r="G266" s="43" t="str">
        <f t="shared" si="9"/>
        <v/>
      </c>
      <c r="H266" s="24" t="str">
        <f>IFERROR(VLOOKUP(A266,庫存!$A:$I,8,0),"")</f>
        <v/>
      </c>
      <c r="I266" s="24" t="str">
        <f>IFERROR(VLOOKUP(A266,庫存!$A:$I,9,0),"")</f>
        <v/>
      </c>
    </row>
    <row r="267" spans="1:9" ht="23" customHeight="1" x14ac:dyDescent="0.35">
      <c r="A267" s="57"/>
      <c r="B267" s="34" t="str">
        <f>IFERROR(VLOOKUP(A267,庫存!$A:$I,2,0),"")</f>
        <v/>
      </c>
      <c r="C267" s="34" t="str">
        <f>IFERROR(VLOOKUP(A267,庫存!$A:$I,3,0),"")</f>
        <v/>
      </c>
      <c r="D267" s="54"/>
      <c r="E267" s="35" t="str">
        <f t="shared" si="8"/>
        <v/>
      </c>
      <c r="F267" s="45" t="str">
        <f>IFERROR(VLOOKUP(A267,庫存!$A:$I,4,0),"0")</f>
        <v>0</v>
      </c>
      <c r="G267" s="43" t="str">
        <f t="shared" si="9"/>
        <v/>
      </c>
      <c r="H267" s="24" t="str">
        <f>IFERROR(VLOOKUP(A267,庫存!$A:$I,8,0),"")</f>
        <v/>
      </c>
      <c r="I267" s="24" t="str">
        <f>IFERROR(VLOOKUP(A267,庫存!$A:$I,9,0),"")</f>
        <v/>
      </c>
    </row>
    <row r="268" spans="1:9" ht="23" customHeight="1" x14ac:dyDescent="0.35">
      <c r="A268" s="57"/>
      <c r="B268" s="34" t="str">
        <f>IFERROR(VLOOKUP(A268,庫存!$A:$I,2,0),"")</f>
        <v/>
      </c>
      <c r="C268" s="34" t="str">
        <f>IFERROR(VLOOKUP(A268,庫存!$A:$I,3,0),"")</f>
        <v/>
      </c>
      <c r="D268" s="54"/>
      <c r="E268" s="35" t="str">
        <f t="shared" si="8"/>
        <v/>
      </c>
      <c r="F268" s="45" t="str">
        <f>IFERROR(VLOOKUP(A268,庫存!$A:$I,4,0),"0")</f>
        <v>0</v>
      </c>
      <c r="G268" s="43" t="str">
        <f t="shared" si="9"/>
        <v/>
      </c>
      <c r="H268" s="24" t="str">
        <f>IFERROR(VLOOKUP(A268,庫存!$A:$I,8,0),"")</f>
        <v/>
      </c>
      <c r="I268" s="24" t="str">
        <f>IFERROR(VLOOKUP(A268,庫存!$A:$I,9,0),"")</f>
        <v/>
      </c>
    </row>
    <row r="269" spans="1:9" ht="23" customHeight="1" x14ac:dyDescent="0.35">
      <c r="A269" s="57"/>
      <c r="B269" s="34" t="str">
        <f>IFERROR(VLOOKUP(A269,庫存!$A:$I,2,0),"")</f>
        <v/>
      </c>
      <c r="C269" s="34" t="str">
        <f>IFERROR(VLOOKUP(A269,庫存!$A:$I,3,0),"")</f>
        <v/>
      </c>
      <c r="D269" s="54"/>
      <c r="E269" s="35" t="str">
        <f t="shared" si="8"/>
        <v/>
      </c>
      <c r="F269" s="45" t="str">
        <f>IFERROR(VLOOKUP(A269,庫存!$A:$I,4,0),"0")</f>
        <v>0</v>
      </c>
      <c r="G269" s="43" t="str">
        <f t="shared" si="9"/>
        <v/>
      </c>
      <c r="H269" s="24" t="str">
        <f>IFERROR(VLOOKUP(A269,庫存!$A:$I,8,0),"")</f>
        <v/>
      </c>
      <c r="I269" s="24" t="str">
        <f>IFERROR(VLOOKUP(A269,庫存!$A:$I,9,0),"")</f>
        <v/>
      </c>
    </row>
    <row r="270" spans="1:9" ht="23" customHeight="1" x14ac:dyDescent="0.35">
      <c r="A270" s="57"/>
      <c r="B270" s="34" t="str">
        <f>IFERROR(VLOOKUP(A270,庫存!$A:$I,2,0),"")</f>
        <v/>
      </c>
      <c r="C270" s="34" t="str">
        <f>IFERROR(VLOOKUP(A270,庫存!$A:$I,3,0),"")</f>
        <v/>
      </c>
      <c r="D270" s="54"/>
      <c r="E270" s="35" t="str">
        <f t="shared" si="8"/>
        <v/>
      </c>
      <c r="F270" s="45" t="str">
        <f>IFERROR(VLOOKUP(A270,庫存!$A:$I,4,0),"0")</f>
        <v>0</v>
      </c>
      <c r="G270" s="43" t="str">
        <f t="shared" si="9"/>
        <v/>
      </c>
      <c r="H270" s="24" t="str">
        <f>IFERROR(VLOOKUP(A270,庫存!$A:$I,8,0),"")</f>
        <v/>
      </c>
      <c r="I270" s="24" t="str">
        <f>IFERROR(VLOOKUP(A270,庫存!$A:$I,9,0),"")</f>
        <v/>
      </c>
    </row>
    <row r="271" spans="1:9" ht="23" customHeight="1" x14ac:dyDescent="0.35">
      <c r="A271" s="57"/>
      <c r="B271" s="34" t="str">
        <f>IFERROR(VLOOKUP(A271,庫存!$A:$I,2,0),"")</f>
        <v/>
      </c>
      <c r="C271" s="34" t="str">
        <f>IFERROR(VLOOKUP(A271,庫存!$A:$I,3,0),"")</f>
        <v/>
      </c>
      <c r="D271" s="54"/>
      <c r="E271" s="35" t="str">
        <f t="shared" si="8"/>
        <v/>
      </c>
      <c r="F271" s="45" t="str">
        <f>IFERROR(VLOOKUP(A271,庫存!$A:$I,4,0),"0")</f>
        <v>0</v>
      </c>
      <c r="G271" s="43" t="str">
        <f t="shared" si="9"/>
        <v/>
      </c>
      <c r="H271" s="24" t="str">
        <f>IFERROR(VLOOKUP(A271,庫存!$A:$I,8,0),"")</f>
        <v/>
      </c>
      <c r="I271" s="24" t="str">
        <f>IFERROR(VLOOKUP(A271,庫存!$A:$I,9,0),"")</f>
        <v/>
      </c>
    </row>
    <row r="272" spans="1:9" ht="23" customHeight="1" x14ac:dyDescent="0.35">
      <c r="A272" s="57"/>
      <c r="B272" s="34" t="str">
        <f>IFERROR(VLOOKUP(A272,庫存!$A:$I,2,0),"")</f>
        <v/>
      </c>
      <c r="C272" s="34" t="str">
        <f>IFERROR(VLOOKUP(A272,庫存!$A:$I,3,0),"")</f>
        <v/>
      </c>
      <c r="D272" s="54"/>
      <c r="E272" s="35" t="str">
        <f t="shared" si="8"/>
        <v/>
      </c>
      <c r="F272" s="45" t="str">
        <f>IFERROR(VLOOKUP(A272,庫存!$A:$I,4,0),"0")</f>
        <v>0</v>
      </c>
      <c r="G272" s="43" t="str">
        <f t="shared" si="9"/>
        <v/>
      </c>
      <c r="H272" s="24" t="str">
        <f>IFERROR(VLOOKUP(A272,庫存!$A:$I,8,0),"")</f>
        <v/>
      </c>
      <c r="I272" s="24" t="str">
        <f>IFERROR(VLOOKUP(A272,庫存!$A:$I,9,0),"")</f>
        <v/>
      </c>
    </row>
    <row r="273" spans="1:9" ht="23" customHeight="1" x14ac:dyDescent="0.35">
      <c r="A273" s="57"/>
      <c r="B273" s="34" t="str">
        <f>IFERROR(VLOOKUP(A273,庫存!$A:$I,2,0),"")</f>
        <v/>
      </c>
      <c r="C273" s="34" t="str">
        <f>IFERROR(VLOOKUP(A273,庫存!$A:$I,3,0),"")</f>
        <v/>
      </c>
      <c r="D273" s="54"/>
      <c r="E273" s="35" t="str">
        <f t="shared" si="8"/>
        <v/>
      </c>
      <c r="F273" s="45" t="str">
        <f>IFERROR(VLOOKUP(A273,庫存!$A:$I,4,0),"0")</f>
        <v>0</v>
      </c>
      <c r="G273" s="43" t="str">
        <f t="shared" si="9"/>
        <v/>
      </c>
      <c r="H273" s="24" t="str">
        <f>IFERROR(VLOOKUP(A273,庫存!$A:$I,8,0),"")</f>
        <v/>
      </c>
      <c r="I273" s="24" t="str">
        <f>IFERROR(VLOOKUP(A273,庫存!$A:$I,9,0),"")</f>
        <v/>
      </c>
    </row>
    <row r="274" spans="1:9" ht="23" customHeight="1" x14ac:dyDescent="0.35">
      <c r="A274" s="57"/>
      <c r="B274" s="34" t="str">
        <f>IFERROR(VLOOKUP(A274,庫存!$A:$I,2,0),"")</f>
        <v/>
      </c>
      <c r="C274" s="34" t="str">
        <f>IFERROR(VLOOKUP(A274,庫存!$A:$I,3,0),"")</f>
        <v/>
      </c>
      <c r="D274" s="54"/>
      <c r="E274" s="35" t="str">
        <f t="shared" si="8"/>
        <v/>
      </c>
      <c r="F274" s="45" t="str">
        <f>IFERROR(VLOOKUP(A274,庫存!$A:$I,4,0),"0")</f>
        <v>0</v>
      </c>
      <c r="G274" s="43" t="str">
        <f t="shared" si="9"/>
        <v/>
      </c>
      <c r="H274" s="24" t="str">
        <f>IFERROR(VLOOKUP(A274,庫存!$A:$I,8,0),"")</f>
        <v/>
      </c>
      <c r="I274" s="24" t="str">
        <f>IFERROR(VLOOKUP(A274,庫存!$A:$I,9,0),"")</f>
        <v/>
      </c>
    </row>
    <row r="275" spans="1:9" ht="23" customHeight="1" x14ac:dyDescent="0.35">
      <c r="A275" s="57"/>
      <c r="B275" s="34" t="str">
        <f>IFERROR(VLOOKUP(A275,庫存!$A:$I,2,0),"")</f>
        <v/>
      </c>
      <c r="C275" s="34" t="str">
        <f>IFERROR(VLOOKUP(A275,庫存!$A:$I,3,0),"")</f>
        <v/>
      </c>
      <c r="D275" s="54"/>
      <c r="E275" s="35" t="str">
        <f t="shared" si="8"/>
        <v/>
      </c>
      <c r="F275" s="45" t="str">
        <f>IFERROR(VLOOKUP(A275,庫存!$A:$I,4,0),"0")</f>
        <v>0</v>
      </c>
      <c r="G275" s="43" t="str">
        <f t="shared" si="9"/>
        <v/>
      </c>
      <c r="H275" s="24" t="str">
        <f>IFERROR(VLOOKUP(A275,庫存!$A:$I,8,0),"")</f>
        <v/>
      </c>
      <c r="I275" s="24" t="str">
        <f>IFERROR(VLOOKUP(A275,庫存!$A:$I,9,0),"")</f>
        <v/>
      </c>
    </row>
    <row r="276" spans="1:9" ht="23" customHeight="1" x14ac:dyDescent="0.35">
      <c r="A276" s="57"/>
      <c r="B276" s="34" t="str">
        <f>IFERROR(VLOOKUP(A276,庫存!$A:$I,2,0),"")</f>
        <v/>
      </c>
      <c r="C276" s="34" t="str">
        <f>IFERROR(VLOOKUP(A276,庫存!$A:$I,3,0),"")</f>
        <v/>
      </c>
      <c r="D276" s="54"/>
      <c r="E276" s="35" t="str">
        <f t="shared" si="8"/>
        <v/>
      </c>
      <c r="F276" s="45" t="str">
        <f>IFERROR(VLOOKUP(A276,庫存!$A:$I,4,0),"0")</f>
        <v>0</v>
      </c>
      <c r="G276" s="43" t="str">
        <f t="shared" si="9"/>
        <v/>
      </c>
      <c r="H276" s="24" t="str">
        <f>IFERROR(VLOOKUP(A276,庫存!$A:$I,8,0),"")</f>
        <v/>
      </c>
      <c r="I276" s="24" t="str">
        <f>IFERROR(VLOOKUP(A276,庫存!$A:$I,9,0),"")</f>
        <v/>
      </c>
    </row>
    <row r="277" spans="1:9" ht="23" customHeight="1" x14ac:dyDescent="0.35">
      <c r="A277" s="57"/>
      <c r="B277" s="34" t="str">
        <f>IFERROR(VLOOKUP(A277,庫存!$A:$I,2,0),"")</f>
        <v/>
      </c>
      <c r="C277" s="34" t="str">
        <f>IFERROR(VLOOKUP(A277,庫存!$A:$I,3,0),"")</f>
        <v/>
      </c>
      <c r="D277" s="54"/>
      <c r="E277" s="35" t="str">
        <f t="shared" si="8"/>
        <v/>
      </c>
      <c r="F277" s="45" t="str">
        <f>IFERROR(VLOOKUP(A277,庫存!$A:$I,4,0),"0")</f>
        <v>0</v>
      </c>
      <c r="G277" s="43" t="str">
        <f t="shared" si="9"/>
        <v/>
      </c>
      <c r="H277" s="24" t="str">
        <f>IFERROR(VLOOKUP(A277,庫存!$A:$I,8,0),"")</f>
        <v/>
      </c>
      <c r="I277" s="24" t="str">
        <f>IFERROR(VLOOKUP(A277,庫存!$A:$I,9,0),"")</f>
        <v/>
      </c>
    </row>
    <row r="278" spans="1:9" ht="23" customHeight="1" x14ac:dyDescent="0.35">
      <c r="A278" s="57"/>
      <c r="B278" s="34" t="str">
        <f>IFERROR(VLOOKUP(A278,庫存!$A:$I,2,0),"")</f>
        <v/>
      </c>
      <c r="C278" s="34" t="str">
        <f>IFERROR(VLOOKUP(A278,庫存!$A:$I,3,0),"")</f>
        <v/>
      </c>
      <c r="D278" s="54"/>
      <c r="E278" s="35" t="str">
        <f t="shared" si="8"/>
        <v/>
      </c>
      <c r="F278" s="45" t="str">
        <f>IFERROR(VLOOKUP(A278,庫存!$A:$I,4,0),"0")</f>
        <v>0</v>
      </c>
      <c r="G278" s="43" t="str">
        <f t="shared" si="9"/>
        <v/>
      </c>
      <c r="H278" s="24" t="str">
        <f>IFERROR(VLOOKUP(A278,庫存!$A:$I,8,0),"")</f>
        <v/>
      </c>
      <c r="I278" s="24" t="str">
        <f>IFERROR(VLOOKUP(A278,庫存!$A:$I,9,0),"")</f>
        <v/>
      </c>
    </row>
    <row r="279" spans="1:9" ht="23" customHeight="1" x14ac:dyDescent="0.35">
      <c r="A279" s="57"/>
      <c r="B279" s="34" t="str">
        <f>IFERROR(VLOOKUP(A279,庫存!$A:$I,2,0),"")</f>
        <v/>
      </c>
      <c r="C279" s="34" t="str">
        <f>IFERROR(VLOOKUP(A279,庫存!$A:$I,3,0),"")</f>
        <v/>
      </c>
      <c r="D279" s="54"/>
      <c r="E279" s="35" t="str">
        <f t="shared" si="8"/>
        <v/>
      </c>
      <c r="F279" s="45" t="str">
        <f>IFERROR(VLOOKUP(A279,庫存!$A:$I,4,0),"0")</f>
        <v>0</v>
      </c>
      <c r="G279" s="43" t="str">
        <f t="shared" si="9"/>
        <v/>
      </c>
      <c r="H279" s="24" t="str">
        <f>IFERROR(VLOOKUP(A279,庫存!$A:$I,8,0),"")</f>
        <v/>
      </c>
      <c r="I279" s="24" t="str">
        <f>IFERROR(VLOOKUP(A279,庫存!$A:$I,9,0),"")</f>
        <v/>
      </c>
    </row>
    <row r="280" spans="1:9" ht="23" customHeight="1" x14ac:dyDescent="0.35">
      <c r="A280" s="57"/>
      <c r="B280" s="34" t="str">
        <f>IFERROR(VLOOKUP(A280,庫存!$A:$I,2,0),"")</f>
        <v/>
      </c>
      <c r="C280" s="34" t="str">
        <f>IFERROR(VLOOKUP(A280,庫存!$A:$I,3,0),"")</f>
        <v/>
      </c>
      <c r="D280" s="54"/>
      <c r="E280" s="35" t="str">
        <f t="shared" si="8"/>
        <v/>
      </c>
      <c r="F280" s="45" t="str">
        <f>IFERROR(VLOOKUP(A280,庫存!$A:$I,4,0),"0")</f>
        <v>0</v>
      </c>
      <c r="G280" s="43" t="str">
        <f t="shared" si="9"/>
        <v/>
      </c>
      <c r="H280" s="24" t="str">
        <f>IFERROR(VLOOKUP(A280,庫存!$A:$I,8,0),"")</f>
        <v/>
      </c>
      <c r="I280" s="24" t="str">
        <f>IFERROR(VLOOKUP(A280,庫存!$A:$I,9,0),"")</f>
        <v/>
      </c>
    </row>
    <row r="281" spans="1:9" ht="23" customHeight="1" x14ac:dyDescent="0.35">
      <c r="A281" s="57"/>
      <c r="B281" s="34" t="str">
        <f>IFERROR(VLOOKUP(A281,庫存!$A:$I,2,0),"")</f>
        <v/>
      </c>
      <c r="C281" s="34" t="str">
        <f>IFERROR(VLOOKUP(A281,庫存!$A:$I,3,0),"")</f>
        <v/>
      </c>
      <c r="D281" s="54"/>
      <c r="E281" s="35" t="str">
        <f t="shared" si="8"/>
        <v/>
      </c>
      <c r="F281" s="45" t="str">
        <f>IFERROR(VLOOKUP(A281,庫存!$A:$I,4,0),"0")</f>
        <v>0</v>
      </c>
      <c r="G281" s="43" t="str">
        <f t="shared" si="9"/>
        <v/>
      </c>
      <c r="H281" s="24" t="str">
        <f>IFERROR(VLOOKUP(A281,庫存!$A:$I,8,0),"")</f>
        <v/>
      </c>
      <c r="I281" s="24" t="str">
        <f>IFERROR(VLOOKUP(A281,庫存!$A:$I,9,0),"")</f>
        <v/>
      </c>
    </row>
    <row r="282" spans="1:9" ht="23" customHeight="1" x14ac:dyDescent="0.35">
      <c r="A282" s="57"/>
      <c r="B282" s="34" t="str">
        <f>IFERROR(VLOOKUP(A282,庫存!$A:$I,2,0),"")</f>
        <v/>
      </c>
      <c r="C282" s="34" t="str">
        <f>IFERROR(VLOOKUP(A282,庫存!$A:$I,3,0),"")</f>
        <v/>
      </c>
      <c r="D282" s="54"/>
      <c r="E282" s="35" t="str">
        <f t="shared" si="8"/>
        <v/>
      </c>
      <c r="F282" s="45" t="str">
        <f>IFERROR(VLOOKUP(A282,庫存!$A:$I,4,0),"0")</f>
        <v>0</v>
      </c>
      <c r="G282" s="43" t="str">
        <f t="shared" si="9"/>
        <v/>
      </c>
      <c r="H282" s="24" t="str">
        <f>IFERROR(VLOOKUP(A282,庫存!$A:$I,8,0),"")</f>
        <v/>
      </c>
      <c r="I282" s="24" t="str">
        <f>IFERROR(VLOOKUP(A282,庫存!$A:$I,9,0),"")</f>
        <v/>
      </c>
    </row>
    <row r="283" spans="1:9" ht="23" customHeight="1" x14ac:dyDescent="0.35">
      <c r="A283" s="57"/>
      <c r="B283" s="34" t="str">
        <f>IFERROR(VLOOKUP(A283,庫存!$A:$I,2,0),"")</f>
        <v/>
      </c>
      <c r="C283" s="34" t="str">
        <f>IFERROR(VLOOKUP(A283,庫存!$A:$I,3,0),"")</f>
        <v/>
      </c>
      <c r="D283" s="54"/>
      <c r="E283" s="35" t="str">
        <f t="shared" si="8"/>
        <v/>
      </c>
      <c r="F283" s="45" t="str">
        <f>IFERROR(VLOOKUP(A283,庫存!$A:$I,4,0),"0")</f>
        <v>0</v>
      </c>
      <c r="G283" s="43" t="str">
        <f t="shared" si="9"/>
        <v/>
      </c>
      <c r="H283" s="24" t="str">
        <f>IFERROR(VLOOKUP(A283,庫存!$A:$I,8,0),"")</f>
        <v/>
      </c>
      <c r="I283" s="24" t="str">
        <f>IFERROR(VLOOKUP(A283,庫存!$A:$I,9,0),"")</f>
        <v/>
      </c>
    </row>
    <row r="284" spans="1:9" ht="23" customHeight="1" x14ac:dyDescent="0.35">
      <c r="A284" s="57"/>
      <c r="B284" s="34" t="str">
        <f>IFERROR(VLOOKUP(A284,庫存!$A:$I,2,0),"")</f>
        <v/>
      </c>
      <c r="C284" s="34" t="str">
        <f>IFERROR(VLOOKUP(A284,庫存!$A:$I,3,0),"")</f>
        <v/>
      </c>
      <c r="D284" s="54"/>
      <c r="E284" s="35" t="str">
        <f t="shared" si="8"/>
        <v/>
      </c>
      <c r="F284" s="45" t="str">
        <f>IFERROR(VLOOKUP(A284,庫存!$A:$I,4,0),"0")</f>
        <v>0</v>
      </c>
      <c r="G284" s="43" t="str">
        <f t="shared" si="9"/>
        <v/>
      </c>
      <c r="H284" s="24" t="str">
        <f>IFERROR(VLOOKUP(A284,庫存!$A:$I,8,0),"")</f>
        <v/>
      </c>
      <c r="I284" s="24" t="str">
        <f>IFERROR(VLOOKUP(A284,庫存!$A:$I,9,0),"")</f>
        <v/>
      </c>
    </row>
    <row r="285" spans="1:9" ht="23" customHeight="1" x14ac:dyDescent="0.35">
      <c r="A285" s="57"/>
      <c r="B285" s="34" t="str">
        <f>IFERROR(VLOOKUP(A285,庫存!$A:$I,2,0),"")</f>
        <v/>
      </c>
      <c r="C285" s="34" t="str">
        <f>IFERROR(VLOOKUP(A285,庫存!$A:$I,3,0),"")</f>
        <v/>
      </c>
      <c r="D285" s="54"/>
      <c r="E285" s="35" t="str">
        <f t="shared" si="8"/>
        <v/>
      </c>
      <c r="F285" s="45" t="str">
        <f>IFERROR(VLOOKUP(A285,庫存!$A:$I,4,0),"0")</f>
        <v>0</v>
      </c>
      <c r="G285" s="43" t="str">
        <f t="shared" si="9"/>
        <v/>
      </c>
      <c r="H285" s="24" t="str">
        <f>IFERROR(VLOOKUP(A285,庫存!$A:$I,8,0),"")</f>
        <v/>
      </c>
      <c r="I285" s="24" t="str">
        <f>IFERROR(VLOOKUP(A285,庫存!$A:$I,9,0),"")</f>
        <v/>
      </c>
    </row>
    <row r="286" spans="1:9" ht="23" customHeight="1" x14ac:dyDescent="0.35">
      <c r="A286" s="57"/>
      <c r="B286" s="34" t="str">
        <f>IFERROR(VLOOKUP(A286,庫存!$A:$I,2,0),"")</f>
        <v/>
      </c>
      <c r="C286" s="34" t="str">
        <f>IFERROR(VLOOKUP(A286,庫存!$A:$I,3,0),"")</f>
        <v/>
      </c>
      <c r="D286" s="54"/>
      <c r="E286" s="35" t="str">
        <f t="shared" si="8"/>
        <v/>
      </c>
      <c r="F286" s="45" t="str">
        <f>IFERROR(VLOOKUP(A286,庫存!$A:$I,4,0),"0")</f>
        <v>0</v>
      </c>
      <c r="G286" s="43" t="str">
        <f t="shared" si="9"/>
        <v/>
      </c>
      <c r="H286" s="24" t="str">
        <f>IFERROR(VLOOKUP(A286,庫存!$A:$I,8,0),"")</f>
        <v/>
      </c>
      <c r="I286" s="24" t="str">
        <f>IFERROR(VLOOKUP(A286,庫存!$A:$I,9,0),"")</f>
        <v/>
      </c>
    </row>
    <row r="287" spans="1:9" ht="23" customHeight="1" x14ac:dyDescent="0.35">
      <c r="A287" s="57"/>
      <c r="B287" s="34" t="str">
        <f>IFERROR(VLOOKUP(A287,庫存!$A:$I,2,0),"")</f>
        <v/>
      </c>
      <c r="C287" s="34" t="str">
        <f>IFERROR(VLOOKUP(A287,庫存!$A:$I,3,0),"")</f>
        <v/>
      </c>
      <c r="D287" s="54"/>
      <c r="E287" s="35" t="str">
        <f t="shared" si="8"/>
        <v/>
      </c>
      <c r="F287" s="45" t="str">
        <f>IFERROR(VLOOKUP(A287,庫存!$A:$I,4,0),"0")</f>
        <v>0</v>
      </c>
      <c r="G287" s="43" t="str">
        <f t="shared" si="9"/>
        <v/>
      </c>
      <c r="H287" s="24" t="str">
        <f>IFERROR(VLOOKUP(A287,庫存!$A:$I,8,0),"")</f>
        <v/>
      </c>
      <c r="I287" s="24" t="str">
        <f>IFERROR(VLOOKUP(A287,庫存!$A:$I,9,0),"")</f>
        <v/>
      </c>
    </row>
    <row r="288" spans="1:9" ht="23" customHeight="1" x14ac:dyDescent="0.35">
      <c r="A288" s="57"/>
      <c r="B288" s="34" t="str">
        <f>IFERROR(VLOOKUP(A288,庫存!$A:$I,2,0),"")</f>
        <v/>
      </c>
      <c r="C288" s="34" t="str">
        <f>IFERROR(VLOOKUP(A288,庫存!$A:$I,3,0),"")</f>
        <v/>
      </c>
      <c r="D288" s="54"/>
      <c r="E288" s="35" t="str">
        <f t="shared" si="8"/>
        <v/>
      </c>
      <c r="F288" s="45" t="str">
        <f>IFERROR(VLOOKUP(A288,庫存!$A:$I,4,0),"0")</f>
        <v>0</v>
      </c>
      <c r="G288" s="43" t="str">
        <f t="shared" si="9"/>
        <v/>
      </c>
      <c r="H288" s="24" t="str">
        <f>IFERROR(VLOOKUP(A288,庫存!$A:$I,8,0),"")</f>
        <v/>
      </c>
      <c r="I288" s="24" t="str">
        <f>IFERROR(VLOOKUP(A288,庫存!$A:$I,9,0),"")</f>
        <v/>
      </c>
    </row>
    <row r="289" spans="1:9" ht="23" customHeight="1" x14ac:dyDescent="0.35">
      <c r="A289" s="57"/>
      <c r="B289" s="34" t="str">
        <f>IFERROR(VLOOKUP(A289,庫存!$A:$I,2,0),"")</f>
        <v/>
      </c>
      <c r="C289" s="34" t="str">
        <f>IFERROR(VLOOKUP(A289,庫存!$A:$I,3,0),"")</f>
        <v/>
      </c>
      <c r="D289" s="54"/>
      <c r="E289" s="35" t="str">
        <f t="shared" si="8"/>
        <v/>
      </c>
      <c r="F289" s="45" t="str">
        <f>IFERROR(VLOOKUP(A289,庫存!$A:$I,4,0),"0")</f>
        <v>0</v>
      </c>
      <c r="G289" s="43" t="str">
        <f t="shared" si="9"/>
        <v/>
      </c>
      <c r="H289" s="24" t="str">
        <f>IFERROR(VLOOKUP(A289,庫存!$A:$I,8,0),"")</f>
        <v/>
      </c>
      <c r="I289" s="24" t="str">
        <f>IFERROR(VLOOKUP(A289,庫存!$A:$I,9,0),"")</f>
        <v/>
      </c>
    </row>
    <row r="290" spans="1:9" ht="23" customHeight="1" x14ac:dyDescent="0.35">
      <c r="A290" s="57"/>
      <c r="B290" s="34" t="str">
        <f>IFERROR(VLOOKUP(A290,庫存!$A:$I,2,0),"")</f>
        <v/>
      </c>
      <c r="C290" s="34" t="str">
        <f>IFERROR(VLOOKUP(A290,庫存!$A:$I,3,0),"")</f>
        <v/>
      </c>
      <c r="D290" s="54"/>
      <c r="E290" s="35" t="str">
        <f t="shared" si="8"/>
        <v/>
      </c>
      <c r="F290" s="45" t="str">
        <f>IFERROR(VLOOKUP(A290,庫存!$A:$I,4,0),"0")</f>
        <v>0</v>
      </c>
      <c r="G290" s="43" t="str">
        <f t="shared" si="9"/>
        <v/>
      </c>
      <c r="H290" s="24" t="str">
        <f>IFERROR(VLOOKUP(A290,庫存!$A:$I,8,0),"")</f>
        <v/>
      </c>
      <c r="I290" s="24" t="str">
        <f>IFERROR(VLOOKUP(A290,庫存!$A:$I,9,0),"")</f>
        <v/>
      </c>
    </row>
    <row r="291" spans="1:9" ht="23" customHeight="1" x14ac:dyDescent="0.35">
      <c r="A291" s="57"/>
      <c r="B291" s="34" t="str">
        <f>IFERROR(VLOOKUP(A291,庫存!$A:$I,2,0),"")</f>
        <v/>
      </c>
      <c r="C291" s="34" t="str">
        <f>IFERROR(VLOOKUP(A291,庫存!$A:$I,3,0),"")</f>
        <v/>
      </c>
      <c r="D291" s="54"/>
      <c r="E291" s="35" t="str">
        <f t="shared" si="8"/>
        <v/>
      </c>
      <c r="F291" s="45" t="str">
        <f>IFERROR(VLOOKUP(A291,庫存!$A:$I,4,0),"0")</f>
        <v>0</v>
      </c>
      <c r="G291" s="43" t="str">
        <f t="shared" si="9"/>
        <v/>
      </c>
      <c r="H291" s="24" t="str">
        <f>IFERROR(VLOOKUP(A291,庫存!$A:$I,8,0),"")</f>
        <v/>
      </c>
      <c r="I291" s="24" t="str">
        <f>IFERROR(VLOOKUP(A291,庫存!$A:$I,9,0),"")</f>
        <v/>
      </c>
    </row>
    <row r="292" spans="1:9" ht="23" customHeight="1" x14ac:dyDescent="0.35">
      <c r="A292" s="57"/>
      <c r="B292" s="34" t="str">
        <f>IFERROR(VLOOKUP(A292,庫存!$A:$I,2,0),"")</f>
        <v/>
      </c>
      <c r="C292" s="34" t="str">
        <f>IFERROR(VLOOKUP(A292,庫存!$A:$I,3,0),"")</f>
        <v/>
      </c>
      <c r="D292" s="54"/>
      <c r="E292" s="35" t="str">
        <f t="shared" si="8"/>
        <v/>
      </c>
      <c r="F292" s="45" t="str">
        <f>IFERROR(VLOOKUP(A292,庫存!$A:$I,4,0),"0")</f>
        <v>0</v>
      </c>
      <c r="G292" s="43" t="str">
        <f t="shared" si="9"/>
        <v/>
      </c>
      <c r="H292" s="24" t="str">
        <f>IFERROR(VLOOKUP(A292,庫存!$A:$I,8,0),"")</f>
        <v/>
      </c>
      <c r="I292" s="24" t="str">
        <f>IFERROR(VLOOKUP(A292,庫存!$A:$I,9,0),"")</f>
        <v/>
      </c>
    </row>
    <row r="293" spans="1:9" ht="23" customHeight="1" x14ac:dyDescent="0.35">
      <c r="A293" s="57"/>
      <c r="B293" s="34" t="str">
        <f>IFERROR(VLOOKUP(A293,庫存!$A:$I,2,0),"")</f>
        <v/>
      </c>
      <c r="C293" s="34" t="str">
        <f>IFERROR(VLOOKUP(A293,庫存!$A:$I,3,0),"")</f>
        <v/>
      </c>
      <c r="D293" s="54"/>
      <c r="E293" s="35" t="str">
        <f t="shared" si="8"/>
        <v/>
      </c>
      <c r="F293" s="45" t="str">
        <f>IFERROR(VLOOKUP(A293,庫存!$A:$I,4,0),"0")</f>
        <v>0</v>
      </c>
      <c r="G293" s="43" t="str">
        <f t="shared" si="9"/>
        <v/>
      </c>
      <c r="H293" s="24" t="str">
        <f>IFERROR(VLOOKUP(A293,庫存!$A:$I,8,0),"")</f>
        <v/>
      </c>
      <c r="I293" s="24" t="str">
        <f>IFERROR(VLOOKUP(A293,庫存!$A:$I,9,0),"")</f>
        <v/>
      </c>
    </row>
    <row r="294" spans="1:9" ht="23" customHeight="1" x14ac:dyDescent="0.35">
      <c r="A294" s="57"/>
      <c r="B294" s="34" t="str">
        <f>IFERROR(VLOOKUP(A294,庫存!$A:$I,2,0),"")</f>
        <v/>
      </c>
      <c r="C294" s="34" t="str">
        <f>IFERROR(VLOOKUP(A294,庫存!$A:$I,3,0),"")</f>
        <v/>
      </c>
      <c r="D294" s="54"/>
      <c r="E294" s="35" t="str">
        <f t="shared" si="8"/>
        <v/>
      </c>
      <c r="F294" s="45" t="str">
        <f>IFERROR(VLOOKUP(A294,庫存!$A:$I,4,0),"0")</f>
        <v>0</v>
      </c>
      <c r="G294" s="43" t="str">
        <f t="shared" si="9"/>
        <v/>
      </c>
      <c r="H294" s="24" t="str">
        <f>IFERROR(VLOOKUP(A294,庫存!$A:$I,8,0),"")</f>
        <v/>
      </c>
      <c r="I294" s="24" t="str">
        <f>IFERROR(VLOOKUP(A294,庫存!$A:$I,9,0),"")</f>
        <v/>
      </c>
    </row>
    <row r="295" spans="1:9" ht="23" customHeight="1" x14ac:dyDescent="0.35">
      <c r="A295" s="57"/>
      <c r="B295" s="34" t="str">
        <f>IFERROR(VLOOKUP(A295,庫存!$A:$I,2,0),"")</f>
        <v/>
      </c>
      <c r="C295" s="34" t="str">
        <f>IFERROR(VLOOKUP(A295,庫存!$A:$I,3,0),"")</f>
        <v/>
      </c>
      <c r="D295" s="54"/>
      <c r="E295" s="35" t="str">
        <f t="shared" si="8"/>
        <v/>
      </c>
      <c r="F295" s="45" t="str">
        <f>IFERROR(VLOOKUP(A295,庫存!$A:$I,4,0),"0")</f>
        <v>0</v>
      </c>
      <c r="G295" s="43" t="str">
        <f t="shared" si="9"/>
        <v/>
      </c>
      <c r="H295" s="24" t="str">
        <f>IFERROR(VLOOKUP(A295,庫存!$A:$I,8,0),"")</f>
        <v/>
      </c>
      <c r="I295" s="24" t="str">
        <f>IFERROR(VLOOKUP(A295,庫存!$A:$I,9,0),"")</f>
        <v/>
      </c>
    </row>
    <row r="296" spans="1:9" ht="23" customHeight="1" x14ac:dyDescent="0.35">
      <c r="A296" s="57"/>
      <c r="B296" s="34" t="str">
        <f>IFERROR(VLOOKUP(A296,庫存!$A:$I,2,0),"")</f>
        <v/>
      </c>
      <c r="C296" s="34" t="str">
        <f>IFERROR(VLOOKUP(A296,庫存!$A:$I,3,0),"")</f>
        <v/>
      </c>
      <c r="D296" s="54"/>
      <c r="E296" s="35" t="str">
        <f t="shared" si="8"/>
        <v/>
      </c>
      <c r="F296" s="45" t="str">
        <f>IFERROR(VLOOKUP(A296,庫存!$A:$I,4,0),"0")</f>
        <v>0</v>
      </c>
      <c r="G296" s="43" t="str">
        <f t="shared" si="9"/>
        <v/>
      </c>
      <c r="H296" s="24" t="str">
        <f>IFERROR(VLOOKUP(A296,庫存!$A:$I,8,0),"")</f>
        <v/>
      </c>
      <c r="I296" s="24" t="str">
        <f>IFERROR(VLOOKUP(A296,庫存!$A:$I,9,0),"")</f>
        <v/>
      </c>
    </row>
    <row r="297" spans="1:9" ht="23" customHeight="1" x14ac:dyDescent="0.35">
      <c r="A297" s="57"/>
      <c r="B297" s="34" t="str">
        <f>IFERROR(VLOOKUP(A297,庫存!$A:$I,2,0),"")</f>
        <v/>
      </c>
      <c r="C297" s="34" t="str">
        <f>IFERROR(VLOOKUP(A297,庫存!$A:$I,3,0),"")</f>
        <v/>
      </c>
      <c r="D297" s="54"/>
      <c r="E297" s="35" t="str">
        <f t="shared" si="8"/>
        <v/>
      </c>
      <c r="F297" s="45" t="str">
        <f>IFERROR(VLOOKUP(A297,庫存!$A:$I,4,0),"0")</f>
        <v>0</v>
      </c>
      <c r="G297" s="43" t="str">
        <f t="shared" si="9"/>
        <v/>
      </c>
      <c r="H297" s="24" t="str">
        <f>IFERROR(VLOOKUP(A297,庫存!$A:$I,8,0),"")</f>
        <v/>
      </c>
      <c r="I297" s="24" t="str">
        <f>IFERROR(VLOOKUP(A297,庫存!$A:$I,9,0),"")</f>
        <v/>
      </c>
    </row>
    <row r="298" spans="1:9" ht="23" customHeight="1" x14ac:dyDescent="0.35">
      <c r="A298" s="57"/>
      <c r="B298" s="34" t="str">
        <f>IFERROR(VLOOKUP(A298,庫存!$A:$I,2,0),"")</f>
        <v/>
      </c>
      <c r="C298" s="34" t="str">
        <f>IFERROR(VLOOKUP(A298,庫存!$A:$I,3,0),"")</f>
        <v/>
      </c>
      <c r="D298" s="54"/>
      <c r="E298" s="35" t="str">
        <f t="shared" si="8"/>
        <v/>
      </c>
      <c r="F298" s="45" t="str">
        <f>IFERROR(VLOOKUP(A298,庫存!$A:$I,4,0),"0")</f>
        <v>0</v>
      </c>
      <c r="G298" s="43" t="str">
        <f t="shared" si="9"/>
        <v/>
      </c>
      <c r="H298" s="24" t="str">
        <f>IFERROR(VLOOKUP(A298,庫存!$A:$I,8,0),"")</f>
        <v/>
      </c>
      <c r="I298" s="24" t="str">
        <f>IFERROR(VLOOKUP(A298,庫存!$A:$I,9,0),"")</f>
        <v/>
      </c>
    </row>
    <row r="299" spans="1:9" ht="23" customHeight="1" x14ac:dyDescent="0.35">
      <c r="A299" s="57"/>
      <c r="B299" s="34" t="str">
        <f>IFERROR(VLOOKUP(A299,庫存!$A:$I,2,0),"")</f>
        <v/>
      </c>
      <c r="C299" s="34" t="str">
        <f>IFERROR(VLOOKUP(A299,庫存!$A:$I,3,0),"")</f>
        <v/>
      </c>
      <c r="D299" s="54"/>
      <c r="E299" s="35" t="str">
        <f t="shared" si="8"/>
        <v/>
      </c>
      <c r="F299" s="45" t="str">
        <f>IFERROR(VLOOKUP(A299,庫存!$A:$I,4,0),"0")</f>
        <v>0</v>
      </c>
      <c r="G299" s="43" t="str">
        <f t="shared" si="9"/>
        <v/>
      </c>
      <c r="H299" s="24" t="str">
        <f>IFERROR(VLOOKUP(A299,庫存!$A:$I,8,0),"")</f>
        <v/>
      </c>
      <c r="I299" s="24" t="str">
        <f>IFERROR(VLOOKUP(A299,庫存!$A:$I,9,0),"")</f>
        <v/>
      </c>
    </row>
    <row r="300" spans="1:9" ht="23" customHeight="1" x14ac:dyDescent="0.35">
      <c r="A300" s="57"/>
      <c r="B300" s="34" t="str">
        <f>IFERROR(VLOOKUP(A300,庫存!$A:$I,2,0),"")</f>
        <v/>
      </c>
      <c r="C300" s="34" t="str">
        <f>IFERROR(VLOOKUP(A300,庫存!$A:$I,3,0),"")</f>
        <v/>
      </c>
      <c r="D300" s="54"/>
      <c r="E300" s="35" t="str">
        <f t="shared" si="8"/>
        <v/>
      </c>
      <c r="F300" s="45" t="str">
        <f>IFERROR(VLOOKUP(A300,庫存!$A:$I,4,0),"0")</f>
        <v>0</v>
      </c>
      <c r="G300" s="43" t="str">
        <f t="shared" si="9"/>
        <v/>
      </c>
      <c r="H300" s="24" t="str">
        <f>IFERROR(VLOOKUP(A300,庫存!$A:$I,8,0),"")</f>
        <v/>
      </c>
      <c r="I300" s="24" t="str">
        <f>IFERROR(VLOOKUP(A300,庫存!$A:$I,9,0),"")</f>
        <v/>
      </c>
    </row>
    <row r="301" spans="1:9" ht="23" customHeight="1" x14ac:dyDescent="0.35">
      <c r="A301" s="57"/>
      <c r="B301" s="34" t="str">
        <f>IFERROR(VLOOKUP(A301,庫存!$A:$I,2,0),"")</f>
        <v/>
      </c>
      <c r="C301" s="34" t="str">
        <f>IFERROR(VLOOKUP(A301,庫存!$A:$I,3,0),"")</f>
        <v/>
      </c>
      <c r="D301" s="54"/>
      <c r="E301" s="35" t="str">
        <f t="shared" si="8"/>
        <v/>
      </c>
      <c r="F301" s="45" t="str">
        <f>IFERROR(VLOOKUP(A301,庫存!$A:$I,4,0),"0")</f>
        <v>0</v>
      </c>
      <c r="G301" s="43" t="str">
        <f t="shared" si="9"/>
        <v/>
      </c>
      <c r="H301" s="24" t="str">
        <f>IFERROR(VLOOKUP(A301,庫存!$A:$I,8,0),"")</f>
        <v/>
      </c>
      <c r="I301" s="24" t="str">
        <f>IFERROR(VLOOKUP(A301,庫存!$A:$I,9,0),"")</f>
        <v/>
      </c>
    </row>
    <row r="302" spans="1:9" ht="23" customHeight="1" x14ac:dyDescent="0.35">
      <c r="A302" s="57"/>
      <c r="B302" s="34" t="str">
        <f>IFERROR(VLOOKUP(A302,庫存!$A:$I,2,0),"")</f>
        <v/>
      </c>
      <c r="C302" s="34" t="str">
        <f>IFERROR(VLOOKUP(A302,庫存!$A:$I,3,0),"")</f>
        <v/>
      </c>
      <c r="D302" s="54"/>
      <c r="E302" s="35" t="str">
        <f t="shared" si="8"/>
        <v/>
      </c>
      <c r="F302" s="45" t="str">
        <f>IFERROR(VLOOKUP(A302,庫存!$A:$I,4,0),"0")</f>
        <v>0</v>
      </c>
      <c r="G302" s="43" t="str">
        <f t="shared" si="9"/>
        <v/>
      </c>
      <c r="H302" s="24" t="str">
        <f>IFERROR(VLOOKUP(A302,庫存!$A:$I,8,0),"")</f>
        <v/>
      </c>
      <c r="I302" s="24" t="str">
        <f>IFERROR(VLOOKUP(A302,庫存!$A:$I,9,0),"")</f>
        <v/>
      </c>
    </row>
    <row r="303" spans="1:9" ht="23" customHeight="1" x14ac:dyDescent="0.35">
      <c r="A303" s="57"/>
      <c r="B303" s="34" t="str">
        <f>IFERROR(VLOOKUP(A303,庫存!$A:$I,2,0),"")</f>
        <v/>
      </c>
      <c r="C303" s="34" t="str">
        <f>IFERROR(VLOOKUP(A303,庫存!$A:$I,3,0),"")</f>
        <v/>
      </c>
      <c r="D303" s="54"/>
      <c r="E303" s="35" t="str">
        <f t="shared" si="8"/>
        <v/>
      </c>
      <c r="F303" s="45" t="str">
        <f>IFERROR(VLOOKUP(A303,庫存!$A:$I,4,0),"0")</f>
        <v>0</v>
      </c>
      <c r="G303" s="43" t="str">
        <f t="shared" si="9"/>
        <v/>
      </c>
      <c r="H303" s="24" t="str">
        <f>IFERROR(VLOOKUP(A303,庫存!$A:$I,8,0),"")</f>
        <v/>
      </c>
      <c r="I303" s="24" t="str">
        <f>IFERROR(VLOOKUP(A303,庫存!$A:$I,9,0),"")</f>
        <v/>
      </c>
    </row>
    <row r="304" spans="1:9" ht="23" customHeight="1" x14ac:dyDescent="0.35">
      <c r="A304" s="57"/>
      <c r="B304" s="34" t="str">
        <f>IFERROR(VLOOKUP(A304,庫存!$A:$I,2,0),"")</f>
        <v/>
      </c>
      <c r="C304" s="34" t="str">
        <f>IFERROR(VLOOKUP(A304,庫存!$A:$I,3,0),"")</f>
        <v/>
      </c>
      <c r="D304" s="54"/>
      <c r="E304" s="35" t="str">
        <f t="shared" si="8"/>
        <v/>
      </c>
      <c r="F304" s="45" t="str">
        <f>IFERROR(VLOOKUP(A304,庫存!$A:$I,4,0),"0")</f>
        <v>0</v>
      </c>
      <c r="G304" s="43" t="str">
        <f t="shared" si="9"/>
        <v/>
      </c>
      <c r="H304" s="24" t="str">
        <f>IFERROR(VLOOKUP(A304,庫存!$A:$I,8,0),"")</f>
        <v/>
      </c>
      <c r="I304" s="24" t="str">
        <f>IFERROR(VLOOKUP(A304,庫存!$A:$I,9,0),"")</f>
        <v/>
      </c>
    </row>
    <row r="305" spans="1:9" ht="23" customHeight="1" x14ac:dyDescent="0.35">
      <c r="A305" s="57"/>
      <c r="B305" s="34" t="str">
        <f>IFERROR(VLOOKUP(A305,庫存!$A:$I,2,0),"")</f>
        <v/>
      </c>
      <c r="C305" s="34" t="str">
        <f>IFERROR(VLOOKUP(A305,庫存!$A:$I,3,0),"")</f>
        <v/>
      </c>
      <c r="D305" s="54"/>
      <c r="E305" s="35" t="str">
        <f t="shared" si="8"/>
        <v/>
      </c>
      <c r="F305" s="45" t="str">
        <f>IFERROR(VLOOKUP(A305,庫存!$A:$I,4,0),"0")</f>
        <v>0</v>
      </c>
      <c r="G305" s="43" t="str">
        <f t="shared" si="9"/>
        <v/>
      </c>
      <c r="H305" s="24" t="str">
        <f>IFERROR(VLOOKUP(A305,庫存!$A:$I,8,0),"")</f>
        <v/>
      </c>
      <c r="I305" s="24" t="str">
        <f>IFERROR(VLOOKUP(A305,庫存!$A:$I,9,0),"")</f>
        <v/>
      </c>
    </row>
    <row r="306" spans="1:9" ht="23" customHeight="1" x14ac:dyDescent="0.35">
      <c r="A306" s="57"/>
      <c r="B306" s="34" t="str">
        <f>IFERROR(VLOOKUP(A306,庫存!$A:$I,2,0),"")</f>
        <v/>
      </c>
      <c r="C306" s="34" t="str">
        <f>IFERROR(VLOOKUP(A306,庫存!$A:$I,3,0),"")</f>
        <v/>
      </c>
      <c r="D306" s="54"/>
      <c r="E306" s="35" t="str">
        <f t="shared" si="8"/>
        <v/>
      </c>
      <c r="F306" s="45" t="str">
        <f>IFERROR(VLOOKUP(A306,庫存!$A:$I,4,0),"0")</f>
        <v>0</v>
      </c>
      <c r="G306" s="43" t="str">
        <f t="shared" si="9"/>
        <v/>
      </c>
      <c r="H306" s="24" t="str">
        <f>IFERROR(VLOOKUP(A306,庫存!$A:$I,8,0),"")</f>
        <v/>
      </c>
      <c r="I306" s="24" t="str">
        <f>IFERROR(VLOOKUP(A306,庫存!$A:$I,9,0),"")</f>
        <v/>
      </c>
    </row>
    <row r="307" spans="1:9" ht="23" customHeight="1" x14ac:dyDescent="0.35">
      <c r="A307" s="57"/>
      <c r="B307" s="34" t="str">
        <f>IFERROR(VLOOKUP(A307,庫存!$A:$I,2,0),"")</f>
        <v/>
      </c>
      <c r="C307" s="34" t="str">
        <f>IFERROR(VLOOKUP(A307,庫存!$A:$I,3,0),"")</f>
        <v/>
      </c>
      <c r="D307" s="54"/>
      <c r="E307" s="35" t="str">
        <f t="shared" si="8"/>
        <v/>
      </c>
      <c r="F307" s="45" t="str">
        <f>IFERROR(VLOOKUP(A307,庫存!$A:$I,4,0),"0")</f>
        <v>0</v>
      </c>
      <c r="G307" s="43" t="str">
        <f t="shared" si="9"/>
        <v/>
      </c>
      <c r="H307" s="24" t="str">
        <f>IFERROR(VLOOKUP(A307,庫存!$A:$I,8,0),"")</f>
        <v/>
      </c>
      <c r="I307" s="24" t="str">
        <f>IFERROR(VLOOKUP(A307,庫存!$A:$I,9,0),"")</f>
        <v/>
      </c>
    </row>
    <row r="308" spans="1:9" ht="23" customHeight="1" x14ac:dyDescent="0.35">
      <c r="A308" s="57"/>
      <c r="B308" s="34" t="str">
        <f>IFERROR(VLOOKUP(A308,庫存!$A:$I,2,0),"")</f>
        <v/>
      </c>
      <c r="C308" s="34" t="str">
        <f>IFERROR(VLOOKUP(A308,庫存!$A:$I,3,0),"")</f>
        <v/>
      </c>
      <c r="D308" s="54"/>
      <c r="E308" s="35" t="str">
        <f t="shared" si="8"/>
        <v/>
      </c>
      <c r="F308" s="45" t="str">
        <f>IFERROR(VLOOKUP(A308,庫存!$A:$I,4,0),"0")</f>
        <v>0</v>
      </c>
      <c r="G308" s="43" t="str">
        <f t="shared" si="9"/>
        <v/>
      </c>
      <c r="H308" s="24" t="str">
        <f>IFERROR(VLOOKUP(A308,庫存!$A:$I,8,0),"")</f>
        <v/>
      </c>
      <c r="I308" s="24" t="str">
        <f>IFERROR(VLOOKUP(A308,庫存!$A:$I,9,0),"")</f>
        <v/>
      </c>
    </row>
    <row r="309" spans="1:9" ht="23" customHeight="1" x14ac:dyDescent="0.35">
      <c r="A309" s="57"/>
      <c r="B309" s="34" t="str">
        <f>IFERROR(VLOOKUP(A309,庫存!$A:$I,2,0),"")</f>
        <v/>
      </c>
      <c r="C309" s="34" t="str">
        <f>IFERROR(VLOOKUP(A309,庫存!$A:$I,3,0),"")</f>
        <v/>
      </c>
      <c r="D309" s="54"/>
      <c r="E309" s="35" t="str">
        <f t="shared" si="8"/>
        <v/>
      </c>
      <c r="F309" s="45" t="str">
        <f>IFERROR(VLOOKUP(A309,庫存!$A:$I,4,0),"0")</f>
        <v>0</v>
      </c>
      <c r="G309" s="43" t="str">
        <f t="shared" si="9"/>
        <v/>
      </c>
      <c r="H309" s="24" t="str">
        <f>IFERROR(VLOOKUP(A309,庫存!$A:$I,8,0),"")</f>
        <v/>
      </c>
      <c r="I309" s="24" t="str">
        <f>IFERROR(VLOOKUP(A309,庫存!$A:$I,9,0),"")</f>
        <v/>
      </c>
    </row>
    <row r="310" spans="1:9" ht="23" customHeight="1" x14ac:dyDescent="0.35">
      <c r="A310" s="57"/>
      <c r="B310" s="34" t="str">
        <f>IFERROR(VLOOKUP(A310,庫存!$A:$I,2,0),"")</f>
        <v/>
      </c>
      <c r="C310" s="34" t="str">
        <f>IFERROR(VLOOKUP(A310,庫存!$A:$I,3,0),"")</f>
        <v/>
      </c>
      <c r="D310" s="54"/>
      <c r="E310" s="35" t="str">
        <f t="shared" si="8"/>
        <v/>
      </c>
      <c r="F310" s="45" t="str">
        <f>IFERROR(VLOOKUP(A310,庫存!$A:$I,4,0),"0")</f>
        <v>0</v>
      </c>
      <c r="G310" s="43" t="str">
        <f t="shared" si="9"/>
        <v/>
      </c>
      <c r="H310" s="24" t="str">
        <f>IFERROR(VLOOKUP(A310,庫存!$A:$I,8,0),"")</f>
        <v/>
      </c>
      <c r="I310" s="24" t="str">
        <f>IFERROR(VLOOKUP(A310,庫存!$A:$I,9,0),"")</f>
        <v/>
      </c>
    </row>
    <row r="311" spans="1:9" ht="23" customHeight="1" x14ac:dyDescent="0.35">
      <c r="A311" s="57"/>
      <c r="B311" s="34" t="str">
        <f>IFERROR(VLOOKUP(A311,庫存!$A:$I,2,0),"")</f>
        <v/>
      </c>
      <c r="C311" s="34" t="str">
        <f>IFERROR(VLOOKUP(A311,庫存!$A:$I,3,0),"")</f>
        <v/>
      </c>
      <c r="D311" s="54"/>
      <c r="E311" s="35" t="str">
        <f t="shared" si="8"/>
        <v/>
      </c>
      <c r="F311" s="45" t="str">
        <f>IFERROR(VLOOKUP(A311,庫存!$A:$I,4,0),"0")</f>
        <v>0</v>
      </c>
      <c r="G311" s="43" t="str">
        <f t="shared" si="9"/>
        <v/>
      </c>
      <c r="H311" s="24" t="str">
        <f>IFERROR(VLOOKUP(A311,庫存!$A:$I,8,0),"")</f>
        <v/>
      </c>
      <c r="I311" s="24" t="str">
        <f>IFERROR(VLOOKUP(A311,庫存!$A:$I,9,0),"")</f>
        <v/>
      </c>
    </row>
    <row r="312" spans="1:9" ht="23" customHeight="1" x14ac:dyDescent="0.35">
      <c r="A312" s="57"/>
      <c r="B312" s="34" t="str">
        <f>IFERROR(VLOOKUP(A312,庫存!$A:$I,2,0),"")</f>
        <v/>
      </c>
      <c r="C312" s="34" t="str">
        <f>IFERROR(VLOOKUP(A312,庫存!$A:$I,3,0),"")</f>
        <v/>
      </c>
      <c r="D312" s="54"/>
      <c r="E312" s="35" t="str">
        <f t="shared" si="8"/>
        <v/>
      </c>
      <c r="F312" s="45" t="str">
        <f>IFERROR(VLOOKUP(A312,庫存!$A:$I,4,0),"0")</f>
        <v>0</v>
      </c>
      <c r="G312" s="43" t="str">
        <f t="shared" si="9"/>
        <v/>
      </c>
      <c r="H312" s="24" t="str">
        <f>IFERROR(VLOOKUP(A312,庫存!$A:$I,8,0),"")</f>
        <v/>
      </c>
      <c r="I312" s="24" t="str">
        <f>IFERROR(VLOOKUP(A312,庫存!$A:$I,9,0),"")</f>
        <v/>
      </c>
    </row>
    <row r="313" spans="1:9" ht="23" customHeight="1" x14ac:dyDescent="0.35">
      <c r="A313" s="57"/>
      <c r="B313" s="34" t="str">
        <f>IFERROR(VLOOKUP(A313,庫存!$A:$I,2,0),"")</f>
        <v/>
      </c>
      <c r="C313" s="34" t="str">
        <f>IFERROR(VLOOKUP(A313,庫存!$A:$I,3,0),"")</f>
        <v/>
      </c>
      <c r="D313" s="54"/>
      <c r="E313" s="35" t="str">
        <f t="shared" si="8"/>
        <v/>
      </c>
      <c r="F313" s="45" t="str">
        <f>IFERROR(VLOOKUP(A313,庫存!$A:$I,4,0),"0")</f>
        <v>0</v>
      </c>
      <c r="G313" s="43" t="str">
        <f t="shared" si="9"/>
        <v/>
      </c>
      <c r="H313" s="24" t="str">
        <f>IFERROR(VLOOKUP(A313,庫存!$A:$I,8,0),"")</f>
        <v/>
      </c>
      <c r="I313" s="24" t="str">
        <f>IFERROR(VLOOKUP(A313,庫存!$A:$I,9,0),"")</f>
        <v/>
      </c>
    </row>
    <row r="314" spans="1:9" ht="23" customHeight="1" x14ac:dyDescent="0.35">
      <c r="A314" s="57"/>
      <c r="B314" s="34" t="str">
        <f>IFERROR(VLOOKUP(A314,庫存!$A:$I,2,0),"")</f>
        <v/>
      </c>
      <c r="C314" s="34" t="str">
        <f>IFERROR(VLOOKUP(A314,庫存!$A:$I,3,0),"")</f>
        <v/>
      </c>
      <c r="D314" s="54"/>
      <c r="E314" s="35" t="str">
        <f t="shared" si="8"/>
        <v/>
      </c>
      <c r="F314" s="45" t="str">
        <f>IFERROR(VLOOKUP(A314,庫存!$A:$I,4,0),"0")</f>
        <v>0</v>
      </c>
      <c r="G314" s="43" t="str">
        <f t="shared" si="9"/>
        <v/>
      </c>
      <c r="H314" s="24" t="str">
        <f>IFERROR(VLOOKUP(A314,庫存!$A:$I,8,0),"")</f>
        <v/>
      </c>
      <c r="I314" s="24" t="str">
        <f>IFERROR(VLOOKUP(A314,庫存!$A:$I,9,0),"")</f>
        <v/>
      </c>
    </row>
    <row r="315" spans="1:9" ht="23" customHeight="1" x14ac:dyDescent="0.35">
      <c r="A315" s="57"/>
      <c r="B315" s="34" t="str">
        <f>IFERROR(VLOOKUP(A315,庫存!$A:$I,2,0),"")</f>
        <v/>
      </c>
      <c r="C315" s="34" t="str">
        <f>IFERROR(VLOOKUP(A315,庫存!$A:$I,3,0),"")</f>
        <v/>
      </c>
      <c r="D315" s="54"/>
      <c r="E315" s="35" t="str">
        <f t="shared" si="8"/>
        <v/>
      </c>
      <c r="F315" s="45" t="str">
        <f>IFERROR(VLOOKUP(A315,庫存!$A:$I,4,0),"0")</f>
        <v>0</v>
      </c>
      <c r="G315" s="43" t="str">
        <f t="shared" si="9"/>
        <v/>
      </c>
      <c r="H315" s="24" t="str">
        <f>IFERROR(VLOOKUP(A315,庫存!$A:$I,8,0),"")</f>
        <v/>
      </c>
      <c r="I315" s="24" t="str">
        <f>IFERROR(VLOOKUP(A315,庫存!$A:$I,9,0),"")</f>
        <v/>
      </c>
    </row>
    <row r="316" spans="1:9" ht="23" customHeight="1" x14ac:dyDescent="0.35">
      <c r="A316" s="57"/>
      <c r="B316" s="34" t="str">
        <f>IFERROR(VLOOKUP(A316,庫存!$A:$I,2,0),"")</f>
        <v/>
      </c>
      <c r="C316" s="34" t="str">
        <f>IFERROR(VLOOKUP(A316,庫存!$A:$I,3,0),"")</f>
        <v/>
      </c>
      <c r="D316" s="54"/>
      <c r="E316" s="35" t="str">
        <f t="shared" si="8"/>
        <v/>
      </c>
      <c r="F316" s="45" t="str">
        <f>IFERROR(VLOOKUP(A316,庫存!$A:$I,4,0),"0")</f>
        <v>0</v>
      </c>
      <c r="G316" s="43" t="str">
        <f t="shared" si="9"/>
        <v/>
      </c>
      <c r="H316" s="24" t="str">
        <f>IFERROR(VLOOKUP(A316,庫存!$A:$I,8,0),"")</f>
        <v/>
      </c>
      <c r="I316" s="24" t="str">
        <f>IFERROR(VLOOKUP(A316,庫存!$A:$I,9,0),"")</f>
        <v/>
      </c>
    </row>
    <row r="317" spans="1:9" ht="23" customHeight="1" x14ac:dyDescent="0.35">
      <c r="A317" s="57"/>
      <c r="B317" s="34" t="str">
        <f>IFERROR(VLOOKUP(A317,庫存!$A:$I,2,0),"")</f>
        <v/>
      </c>
      <c r="C317" s="34" t="str">
        <f>IFERROR(VLOOKUP(A317,庫存!$A:$I,3,0),"")</f>
        <v/>
      </c>
      <c r="D317" s="54"/>
      <c r="E317" s="35" t="str">
        <f t="shared" si="8"/>
        <v/>
      </c>
      <c r="F317" s="45" t="str">
        <f>IFERROR(VLOOKUP(A317,庫存!$A:$I,4,0),"0")</f>
        <v>0</v>
      </c>
      <c r="G317" s="43" t="str">
        <f t="shared" si="9"/>
        <v/>
      </c>
      <c r="H317" s="24" t="str">
        <f>IFERROR(VLOOKUP(A317,庫存!$A:$I,8,0),"")</f>
        <v/>
      </c>
      <c r="I317" s="24" t="str">
        <f>IFERROR(VLOOKUP(A317,庫存!$A:$I,9,0),"")</f>
        <v/>
      </c>
    </row>
    <row r="318" spans="1:9" ht="23" customHeight="1" x14ac:dyDescent="0.35">
      <c r="A318" s="57"/>
      <c r="B318" s="34" t="str">
        <f>IFERROR(VLOOKUP(A318,庫存!$A:$I,2,0),"")</f>
        <v/>
      </c>
      <c r="C318" s="34" t="str">
        <f>IFERROR(VLOOKUP(A318,庫存!$A:$I,3,0),"")</f>
        <v/>
      </c>
      <c r="D318" s="54"/>
      <c r="E318" s="35" t="str">
        <f t="shared" si="8"/>
        <v/>
      </c>
      <c r="F318" s="45" t="str">
        <f>IFERROR(VLOOKUP(A318,庫存!$A:$I,4,0),"0")</f>
        <v>0</v>
      </c>
      <c r="G318" s="43" t="str">
        <f t="shared" si="9"/>
        <v/>
      </c>
      <c r="H318" s="24" t="str">
        <f>IFERROR(VLOOKUP(A318,庫存!$A:$I,8,0),"")</f>
        <v/>
      </c>
      <c r="I318" s="24" t="str">
        <f>IFERROR(VLOOKUP(A318,庫存!$A:$I,9,0),"")</f>
        <v/>
      </c>
    </row>
    <row r="319" spans="1:9" ht="23" customHeight="1" x14ac:dyDescent="0.35">
      <c r="A319" s="57"/>
      <c r="B319" s="34" t="str">
        <f>IFERROR(VLOOKUP(A319,庫存!$A:$I,2,0),"")</f>
        <v/>
      </c>
      <c r="C319" s="34" t="str">
        <f>IFERROR(VLOOKUP(A319,庫存!$A:$I,3,0),"")</f>
        <v/>
      </c>
      <c r="D319" s="54"/>
      <c r="E319" s="35" t="str">
        <f t="shared" si="8"/>
        <v/>
      </c>
      <c r="F319" s="45" t="str">
        <f>IFERROR(VLOOKUP(A319,庫存!$A:$I,4,0),"0")</f>
        <v>0</v>
      </c>
      <c r="G319" s="43" t="str">
        <f t="shared" si="9"/>
        <v/>
      </c>
      <c r="H319" s="24" t="str">
        <f>IFERROR(VLOOKUP(A319,庫存!$A:$I,8,0),"")</f>
        <v/>
      </c>
      <c r="I319" s="24" t="str">
        <f>IFERROR(VLOOKUP(A319,庫存!$A:$I,9,0),"")</f>
        <v/>
      </c>
    </row>
    <row r="320" spans="1:9" ht="23" customHeight="1" x14ac:dyDescent="0.35">
      <c r="A320" s="57"/>
      <c r="B320" s="34" t="str">
        <f>IFERROR(VLOOKUP(A320,庫存!$A:$I,2,0),"")</f>
        <v/>
      </c>
      <c r="C320" s="34" t="str">
        <f>IFERROR(VLOOKUP(A320,庫存!$A:$I,3,0),"")</f>
        <v/>
      </c>
      <c r="D320" s="54"/>
      <c r="E320" s="35" t="str">
        <f t="shared" si="8"/>
        <v/>
      </c>
      <c r="F320" s="45" t="str">
        <f>IFERROR(VLOOKUP(A320,庫存!$A:$I,4,0),"0")</f>
        <v>0</v>
      </c>
      <c r="G320" s="43" t="str">
        <f t="shared" si="9"/>
        <v/>
      </c>
      <c r="H320" s="24" t="str">
        <f>IFERROR(VLOOKUP(A320,庫存!$A:$I,8,0),"")</f>
        <v/>
      </c>
      <c r="I320" s="24" t="str">
        <f>IFERROR(VLOOKUP(A320,庫存!$A:$I,9,0),"")</f>
        <v/>
      </c>
    </row>
    <row r="321" spans="1:9" ht="23" customHeight="1" x14ac:dyDescent="0.35">
      <c r="A321" s="57"/>
      <c r="B321" s="34" t="str">
        <f>IFERROR(VLOOKUP(A321,庫存!$A:$I,2,0),"")</f>
        <v/>
      </c>
      <c r="C321" s="34" t="str">
        <f>IFERROR(VLOOKUP(A321,庫存!$A:$I,3,0),"")</f>
        <v/>
      </c>
      <c r="D321" s="54"/>
      <c r="E321" s="35" t="str">
        <f t="shared" si="8"/>
        <v/>
      </c>
      <c r="F321" s="45" t="str">
        <f>IFERROR(VLOOKUP(A321,庫存!$A:$I,4,0),"0")</f>
        <v>0</v>
      </c>
      <c r="G321" s="43" t="str">
        <f t="shared" si="9"/>
        <v/>
      </c>
      <c r="H321" s="24" t="str">
        <f>IFERROR(VLOOKUP(A321,庫存!$A:$I,8,0),"")</f>
        <v/>
      </c>
      <c r="I321" s="24" t="str">
        <f>IFERROR(VLOOKUP(A321,庫存!$A:$I,9,0),"")</f>
        <v/>
      </c>
    </row>
    <row r="322" spans="1:9" ht="23" customHeight="1" x14ac:dyDescent="0.35">
      <c r="A322" s="57"/>
      <c r="B322" s="34" t="str">
        <f>IFERROR(VLOOKUP(A322,庫存!$A:$I,2,0),"")</f>
        <v/>
      </c>
      <c r="C322" s="34" t="str">
        <f>IFERROR(VLOOKUP(A322,庫存!$A:$I,3,0),"")</f>
        <v/>
      </c>
      <c r="D322" s="54"/>
      <c r="E322" s="35" t="str">
        <f t="shared" ref="E322:E385" si="10">IF(D322*$E$1=0,"",D322*$E$1)</f>
        <v/>
      </c>
      <c r="F322" s="45" t="str">
        <f>IFERROR(VLOOKUP(A322,庫存!$A:$I,4,0),"0")</f>
        <v>0</v>
      </c>
      <c r="G322" s="43" t="str">
        <f t="shared" ref="G322:G385" si="11">IFERROR(F322-E322,"")</f>
        <v/>
      </c>
      <c r="H322" s="24" t="str">
        <f>IFERROR(VLOOKUP(A322,庫存!$A:$I,8,0),"")</f>
        <v/>
      </c>
      <c r="I322" s="24" t="str">
        <f>IFERROR(VLOOKUP(A322,庫存!$A:$I,9,0),"")</f>
        <v/>
      </c>
    </row>
    <row r="323" spans="1:9" ht="23" customHeight="1" x14ac:dyDescent="0.35">
      <c r="A323" s="57"/>
      <c r="B323" s="34" t="str">
        <f>IFERROR(VLOOKUP(A323,庫存!$A:$I,2,0),"")</f>
        <v/>
      </c>
      <c r="C323" s="34" t="str">
        <f>IFERROR(VLOOKUP(A323,庫存!$A:$I,3,0),"")</f>
        <v/>
      </c>
      <c r="D323" s="54"/>
      <c r="E323" s="35" t="str">
        <f t="shared" si="10"/>
        <v/>
      </c>
      <c r="F323" s="45" t="str">
        <f>IFERROR(VLOOKUP(A323,庫存!$A:$I,4,0),"0")</f>
        <v>0</v>
      </c>
      <c r="G323" s="43" t="str">
        <f t="shared" si="11"/>
        <v/>
      </c>
      <c r="H323" s="24" t="str">
        <f>IFERROR(VLOOKUP(A323,庫存!$A:$I,8,0),"")</f>
        <v/>
      </c>
      <c r="I323" s="24" t="str">
        <f>IFERROR(VLOOKUP(A323,庫存!$A:$I,9,0),"")</f>
        <v/>
      </c>
    </row>
    <row r="324" spans="1:9" ht="23" customHeight="1" x14ac:dyDescent="0.35">
      <c r="A324" s="57"/>
      <c r="B324" s="34" t="str">
        <f>IFERROR(VLOOKUP(A324,庫存!$A:$I,2,0),"")</f>
        <v/>
      </c>
      <c r="C324" s="34" t="str">
        <f>IFERROR(VLOOKUP(A324,庫存!$A:$I,3,0),"")</f>
        <v/>
      </c>
      <c r="D324" s="54"/>
      <c r="E324" s="35" t="str">
        <f t="shared" si="10"/>
        <v/>
      </c>
      <c r="F324" s="45" t="str">
        <f>IFERROR(VLOOKUP(A324,庫存!$A:$I,4,0),"0")</f>
        <v>0</v>
      </c>
      <c r="G324" s="43" t="str">
        <f t="shared" si="11"/>
        <v/>
      </c>
      <c r="H324" s="24" t="str">
        <f>IFERROR(VLOOKUP(A324,庫存!$A:$I,8,0),"")</f>
        <v/>
      </c>
      <c r="I324" s="24" t="str">
        <f>IFERROR(VLOOKUP(A324,庫存!$A:$I,9,0),"")</f>
        <v/>
      </c>
    </row>
    <row r="325" spans="1:9" ht="23" customHeight="1" x14ac:dyDescent="0.35">
      <c r="A325" s="57"/>
      <c r="B325" s="34" t="str">
        <f>IFERROR(VLOOKUP(A325,庫存!$A:$I,2,0),"")</f>
        <v/>
      </c>
      <c r="C325" s="34" t="str">
        <f>IFERROR(VLOOKUP(A325,庫存!$A:$I,3,0),"")</f>
        <v/>
      </c>
      <c r="D325" s="54"/>
      <c r="E325" s="35" t="str">
        <f t="shared" si="10"/>
        <v/>
      </c>
      <c r="F325" s="45" t="str">
        <f>IFERROR(VLOOKUP(A325,庫存!$A:$I,4,0),"0")</f>
        <v>0</v>
      </c>
      <c r="G325" s="43" t="str">
        <f t="shared" si="11"/>
        <v/>
      </c>
      <c r="H325" s="24" t="str">
        <f>IFERROR(VLOOKUP(A325,庫存!$A:$I,8,0),"")</f>
        <v/>
      </c>
      <c r="I325" s="24" t="str">
        <f>IFERROR(VLOOKUP(A325,庫存!$A:$I,9,0),"")</f>
        <v/>
      </c>
    </row>
    <row r="326" spans="1:9" ht="23" customHeight="1" x14ac:dyDescent="0.35">
      <c r="A326" s="57"/>
      <c r="B326" s="34" t="str">
        <f>IFERROR(VLOOKUP(A326,庫存!$A:$I,2,0),"")</f>
        <v/>
      </c>
      <c r="C326" s="34" t="str">
        <f>IFERROR(VLOOKUP(A326,庫存!$A:$I,3,0),"")</f>
        <v/>
      </c>
      <c r="D326" s="54"/>
      <c r="E326" s="35" t="str">
        <f t="shared" si="10"/>
        <v/>
      </c>
      <c r="F326" s="45" t="str">
        <f>IFERROR(VLOOKUP(A326,庫存!$A:$I,4,0),"0")</f>
        <v>0</v>
      </c>
      <c r="G326" s="43" t="str">
        <f t="shared" si="11"/>
        <v/>
      </c>
      <c r="H326" s="24" t="str">
        <f>IFERROR(VLOOKUP(A326,庫存!$A:$I,8,0),"")</f>
        <v/>
      </c>
      <c r="I326" s="24" t="str">
        <f>IFERROR(VLOOKUP(A326,庫存!$A:$I,9,0),"")</f>
        <v/>
      </c>
    </row>
    <row r="327" spans="1:9" ht="23" customHeight="1" x14ac:dyDescent="0.35">
      <c r="A327" s="57"/>
      <c r="B327" s="34" t="str">
        <f>IFERROR(VLOOKUP(A327,庫存!$A:$I,2,0),"")</f>
        <v/>
      </c>
      <c r="C327" s="34" t="str">
        <f>IFERROR(VLOOKUP(A327,庫存!$A:$I,3,0),"")</f>
        <v/>
      </c>
      <c r="D327" s="54"/>
      <c r="E327" s="35" t="str">
        <f t="shared" si="10"/>
        <v/>
      </c>
      <c r="F327" s="45" t="str">
        <f>IFERROR(VLOOKUP(A327,庫存!$A:$I,4,0),"0")</f>
        <v>0</v>
      </c>
      <c r="G327" s="43" t="str">
        <f t="shared" si="11"/>
        <v/>
      </c>
      <c r="H327" s="24" t="str">
        <f>IFERROR(VLOOKUP(A327,庫存!$A:$I,8,0),"")</f>
        <v/>
      </c>
      <c r="I327" s="24" t="str">
        <f>IFERROR(VLOOKUP(A327,庫存!$A:$I,9,0),"")</f>
        <v/>
      </c>
    </row>
    <row r="328" spans="1:9" ht="23" customHeight="1" x14ac:dyDescent="0.35">
      <c r="A328" s="57"/>
      <c r="B328" s="34" t="str">
        <f>IFERROR(VLOOKUP(A328,庫存!$A:$I,2,0),"")</f>
        <v/>
      </c>
      <c r="C328" s="34" t="str">
        <f>IFERROR(VLOOKUP(A328,庫存!$A:$I,3,0),"")</f>
        <v/>
      </c>
      <c r="D328" s="54"/>
      <c r="E328" s="35" t="str">
        <f t="shared" si="10"/>
        <v/>
      </c>
      <c r="F328" s="45" t="str">
        <f>IFERROR(VLOOKUP(A328,庫存!$A:$I,4,0),"0")</f>
        <v>0</v>
      </c>
      <c r="G328" s="43" t="str">
        <f t="shared" si="11"/>
        <v/>
      </c>
      <c r="H328" s="24" t="str">
        <f>IFERROR(VLOOKUP(A328,庫存!$A:$I,8,0),"")</f>
        <v/>
      </c>
      <c r="I328" s="24" t="str">
        <f>IFERROR(VLOOKUP(A328,庫存!$A:$I,9,0),"")</f>
        <v/>
      </c>
    </row>
    <row r="329" spans="1:9" ht="23" customHeight="1" x14ac:dyDescent="0.35">
      <c r="A329" s="57"/>
      <c r="B329" s="34" t="str">
        <f>IFERROR(VLOOKUP(A329,庫存!$A:$I,2,0),"")</f>
        <v/>
      </c>
      <c r="C329" s="34" t="str">
        <f>IFERROR(VLOOKUP(A329,庫存!$A:$I,3,0),"")</f>
        <v/>
      </c>
      <c r="D329" s="54"/>
      <c r="E329" s="35" t="str">
        <f t="shared" si="10"/>
        <v/>
      </c>
      <c r="F329" s="45" t="str">
        <f>IFERROR(VLOOKUP(A329,庫存!$A:$I,4,0),"0")</f>
        <v>0</v>
      </c>
      <c r="G329" s="43" t="str">
        <f t="shared" si="11"/>
        <v/>
      </c>
      <c r="H329" s="24" t="str">
        <f>IFERROR(VLOOKUP(A329,庫存!$A:$I,8,0),"")</f>
        <v/>
      </c>
      <c r="I329" s="24" t="str">
        <f>IFERROR(VLOOKUP(A329,庫存!$A:$I,9,0),"")</f>
        <v/>
      </c>
    </row>
    <row r="330" spans="1:9" ht="23" customHeight="1" x14ac:dyDescent="0.35">
      <c r="A330" s="57"/>
      <c r="B330" s="34" t="str">
        <f>IFERROR(VLOOKUP(A330,庫存!$A:$I,2,0),"")</f>
        <v/>
      </c>
      <c r="C330" s="34" t="str">
        <f>IFERROR(VLOOKUP(A330,庫存!$A:$I,3,0),"")</f>
        <v/>
      </c>
      <c r="D330" s="54"/>
      <c r="E330" s="35" t="str">
        <f t="shared" si="10"/>
        <v/>
      </c>
      <c r="F330" s="45" t="str">
        <f>IFERROR(VLOOKUP(A330,庫存!$A:$I,4,0),"0")</f>
        <v>0</v>
      </c>
      <c r="G330" s="43" t="str">
        <f t="shared" si="11"/>
        <v/>
      </c>
      <c r="H330" s="24" t="str">
        <f>IFERROR(VLOOKUP(A330,庫存!$A:$I,8,0),"")</f>
        <v/>
      </c>
      <c r="I330" s="24" t="str">
        <f>IFERROR(VLOOKUP(A330,庫存!$A:$I,9,0),"")</f>
        <v/>
      </c>
    </row>
    <row r="331" spans="1:9" ht="23" customHeight="1" x14ac:dyDescent="0.35">
      <c r="A331" s="57"/>
      <c r="B331" s="34" t="str">
        <f>IFERROR(VLOOKUP(A331,庫存!$A:$I,2,0),"")</f>
        <v/>
      </c>
      <c r="C331" s="34" t="str">
        <f>IFERROR(VLOOKUP(A331,庫存!$A:$I,3,0),"")</f>
        <v/>
      </c>
      <c r="D331" s="54"/>
      <c r="E331" s="35" t="str">
        <f t="shared" si="10"/>
        <v/>
      </c>
      <c r="F331" s="45" t="str">
        <f>IFERROR(VLOOKUP(A331,庫存!$A:$I,4,0),"0")</f>
        <v>0</v>
      </c>
      <c r="G331" s="43" t="str">
        <f t="shared" si="11"/>
        <v/>
      </c>
      <c r="H331" s="24" t="str">
        <f>IFERROR(VLOOKUP(A331,庫存!$A:$I,8,0),"")</f>
        <v/>
      </c>
      <c r="I331" s="24" t="str">
        <f>IFERROR(VLOOKUP(A331,庫存!$A:$I,9,0),"")</f>
        <v/>
      </c>
    </row>
    <row r="332" spans="1:9" ht="23" customHeight="1" x14ac:dyDescent="0.35">
      <c r="A332" s="57"/>
      <c r="B332" s="34" t="str">
        <f>IFERROR(VLOOKUP(A332,庫存!$A:$I,2,0),"")</f>
        <v/>
      </c>
      <c r="C332" s="34" t="str">
        <f>IFERROR(VLOOKUP(A332,庫存!$A:$I,3,0),"")</f>
        <v/>
      </c>
      <c r="D332" s="54"/>
      <c r="E332" s="35" t="str">
        <f t="shared" si="10"/>
        <v/>
      </c>
      <c r="F332" s="45" t="str">
        <f>IFERROR(VLOOKUP(A332,庫存!$A:$I,4,0),"0")</f>
        <v>0</v>
      </c>
      <c r="G332" s="43" t="str">
        <f t="shared" si="11"/>
        <v/>
      </c>
      <c r="H332" s="24" t="str">
        <f>IFERROR(VLOOKUP(A332,庫存!$A:$I,8,0),"")</f>
        <v/>
      </c>
      <c r="I332" s="24" t="str">
        <f>IFERROR(VLOOKUP(A332,庫存!$A:$I,9,0),"")</f>
        <v/>
      </c>
    </row>
    <row r="333" spans="1:9" ht="23" customHeight="1" x14ac:dyDescent="0.35">
      <c r="A333" s="57"/>
      <c r="B333" s="34" t="str">
        <f>IFERROR(VLOOKUP(A333,庫存!$A:$I,2,0),"")</f>
        <v/>
      </c>
      <c r="C333" s="34" t="str">
        <f>IFERROR(VLOOKUP(A333,庫存!$A:$I,3,0),"")</f>
        <v/>
      </c>
      <c r="D333" s="54"/>
      <c r="E333" s="35" t="str">
        <f t="shared" si="10"/>
        <v/>
      </c>
      <c r="F333" s="45" t="str">
        <f>IFERROR(VLOOKUP(A333,庫存!$A:$I,4,0),"0")</f>
        <v>0</v>
      </c>
      <c r="G333" s="43" t="str">
        <f t="shared" si="11"/>
        <v/>
      </c>
      <c r="H333" s="24" t="str">
        <f>IFERROR(VLOOKUP(A333,庫存!$A:$I,8,0),"")</f>
        <v/>
      </c>
      <c r="I333" s="24" t="str">
        <f>IFERROR(VLOOKUP(A333,庫存!$A:$I,9,0),"")</f>
        <v/>
      </c>
    </row>
    <row r="334" spans="1:9" ht="23" customHeight="1" x14ac:dyDescent="0.35">
      <c r="A334" s="57"/>
      <c r="B334" s="34" t="str">
        <f>IFERROR(VLOOKUP(A334,庫存!$A:$I,2,0),"")</f>
        <v/>
      </c>
      <c r="C334" s="34" t="str">
        <f>IFERROR(VLOOKUP(A334,庫存!$A:$I,3,0),"")</f>
        <v/>
      </c>
      <c r="D334" s="54"/>
      <c r="E334" s="35" t="str">
        <f t="shared" si="10"/>
        <v/>
      </c>
      <c r="F334" s="45" t="str">
        <f>IFERROR(VLOOKUP(A334,庫存!$A:$I,4,0),"0")</f>
        <v>0</v>
      </c>
      <c r="G334" s="43" t="str">
        <f t="shared" si="11"/>
        <v/>
      </c>
      <c r="H334" s="24" t="str">
        <f>IFERROR(VLOOKUP(A334,庫存!$A:$I,8,0),"")</f>
        <v/>
      </c>
      <c r="I334" s="24" t="str">
        <f>IFERROR(VLOOKUP(A334,庫存!$A:$I,9,0),"")</f>
        <v/>
      </c>
    </row>
    <row r="335" spans="1:9" ht="23" customHeight="1" x14ac:dyDescent="0.35">
      <c r="A335" s="57"/>
      <c r="B335" s="34" t="str">
        <f>IFERROR(VLOOKUP(A335,庫存!$A:$I,2,0),"")</f>
        <v/>
      </c>
      <c r="C335" s="34" t="str">
        <f>IFERROR(VLOOKUP(A335,庫存!$A:$I,3,0),"")</f>
        <v/>
      </c>
      <c r="D335" s="54"/>
      <c r="E335" s="35" t="str">
        <f t="shared" si="10"/>
        <v/>
      </c>
      <c r="F335" s="45" t="str">
        <f>IFERROR(VLOOKUP(A335,庫存!$A:$I,4,0),"0")</f>
        <v>0</v>
      </c>
      <c r="G335" s="43" t="str">
        <f t="shared" si="11"/>
        <v/>
      </c>
      <c r="H335" s="24" t="str">
        <f>IFERROR(VLOOKUP(A335,庫存!$A:$I,8,0),"")</f>
        <v/>
      </c>
      <c r="I335" s="24" t="str">
        <f>IFERROR(VLOOKUP(A335,庫存!$A:$I,9,0),"")</f>
        <v/>
      </c>
    </row>
    <row r="336" spans="1:9" ht="23" customHeight="1" x14ac:dyDescent="0.35">
      <c r="A336" s="57"/>
      <c r="B336" s="34" t="str">
        <f>IFERROR(VLOOKUP(A336,庫存!$A:$I,2,0),"")</f>
        <v/>
      </c>
      <c r="C336" s="34" t="str">
        <f>IFERROR(VLOOKUP(A336,庫存!$A:$I,3,0),"")</f>
        <v/>
      </c>
      <c r="D336" s="54"/>
      <c r="E336" s="35" t="str">
        <f t="shared" si="10"/>
        <v/>
      </c>
      <c r="F336" s="45" t="str">
        <f>IFERROR(VLOOKUP(A336,庫存!$A:$I,4,0),"0")</f>
        <v>0</v>
      </c>
      <c r="G336" s="43" t="str">
        <f t="shared" si="11"/>
        <v/>
      </c>
      <c r="H336" s="24" t="str">
        <f>IFERROR(VLOOKUP(A336,庫存!$A:$I,8,0),"")</f>
        <v/>
      </c>
      <c r="I336" s="24" t="str">
        <f>IFERROR(VLOOKUP(A336,庫存!$A:$I,9,0),"")</f>
        <v/>
      </c>
    </row>
    <row r="337" spans="1:9" ht="23" customHeight="1" x14ac:dyDescent="0.35">
      <c r="A337" s="57"/>
      <c r="B337" s="34" t="str">
        <f>IFERROR(VLOOKUP(A337,庫存!$A:$I,2,0),"")</f>
        <v/>
      </c>
      <c r="C337" s="34" t="str">
        <f>IFERROR(VLOOKUP(A337,庫存!$A:$I,3,0),"")</f>
        <v/>
      </c>
      <c r="D337" s="54"/>
      <c r="E337" s="35" t="str">
        <f t="shared" si="10"/>
        <v/>
      </c>
      <c r="F337" s="45" t="str">
        <f>IFERROR(VLOOKUP(A337,庫存!$A:$I,4,0),"0")</f>
        <v>0</v>
      </c>
      <c r="G337" s="43" t="str">
        <f t="shared" si="11"/>
        <v/>
      </c>
      <c r="H337" s="24" t="str">
        <f>IFERROR(VLOOKUP(A337,庫存!$A:$I,8,0),"")</f>
        <v/>
      </c>
      <c r="I337" s="24" t="str">
        <f>IFERROR(VLOOKUP(A337,庫存!$A:$I,9,0),"")</f>
        <v/>
      </c>
    </row>
    <row r="338" spans="1:9" ht="23" customHeight="1" x14ac:dyDescent="0.35">
      <c r="A338" s="57"/>
      <c r="B338" s="34" t="str">
        <f>IFERROR(VLOOKUP(A338,庫存!$A:$I,2,0),"")</f>
        <v/>
      </c>
      <c r="C338" s="34" t="str">
        <f>IFERROR(VLOOKUP(A338,庫存!$A:$I,3,0),"")</f>
        <v/>
      </c>
      <c r="D338" s="54"/>
      <c r="E338" s="35" t="str">
        <f t="shared" si="10"/>
        <v/>
      </c>
      <c r="F338" s="45" t="str">
        <f>IFERROR(VLOOKUP(A338,庫存!$A:$I,4,0),"0")</f>
        <v>0</v>
      </c>
      <c r="G338" s="43" t="str">
        <f t="shared" si="11"/>
        <v/>
      </c>
      <c r="H338" s="24" t="str">
        <f>IFERROR(VLOOKUP(A338,庫存!$A:$I,8,0),"")</f>
        <v/>
      </c>
      <c r="I338" s="24" t="str">
        <f>IFERROR(VLOOKUP(A338,庫存!$A:$I,9,0),"")</f>
        <v/>
      </c>
    </row>
    <row r="339" spans="1:9" ht="23" customHeight="1" x14ac:dyDescent="0.35">
      <c r="A339" s="57"/>
      <c r="B339" s="34" t="str">
        <f>IFERROR(VLOOKUP(A339,庫存!$A:$I,2,0),"")</f>
        <v/>
      </c>
      <c r="C339" s="34" t="str">
        <f>IFERROR(VLOOKUP(A339,庫存!$A:$I,3,0),"")</f>
        <v/>
      </c>
      <c r="D339" s="54"/>
      <c r="E339" s="35" t="str">
        <f t="shared" si="10"/>
        <v/>
      </c>
      <c r="F339" s="45" t="str">
        <f>IFERROR(VLOOKUP(A339,庫存!$A:$I,4,0),"0")</f>
        <v>0</v>
      </c>
      <c r="G339" s="43" t="str">
        <f t="shared" si="11"/>
        <v/>
      </c>
      <c r="H339" s="24" t="str">
        <f>IFERROR(VLOOKUP(A339,庫存!$A:$I,8,0),"")</f>
        <v/>
      </c>
      <c r="I339" s="24" t="str">
        <f>IFERROR(VLOOKUP(A339,庫存!$A:$I,9,0),"")</f>
        <v/>
      </c>
    </row>
    <row r="340" spans="1:9" ht="23" customHeight="1" x14ac:dyDescent="0.35">
      <c r="A340" s="57"/>
      <c r="B340" s="34" t="str">
        <f>IFERROR(VLOOKUP(A340,庫存!$A:$I,2,0),"")</f>
        <v/>
      </c>
      <c r="C340" s="34" t="str">
        <f>IFERROR(VLOOKUP(A340,庫存!$A:$I,3,0),"")</f>
        <v/>
      </c>
      <c r="D340" s="54"/>
      <c r="E340" s="35" t="str">
        <f t="shared" si="10"/>
        <v/>
      </c>
      <c r="F340" s="45" t="str">
        <f>IFERROR(VLOOKUP(A340,庫存!$A:$I,4,0),"0")</f>
        <v>0</v>
      </c>
      <c r="G340" s="43" t="str">
        <f t="shared" si="11"/>
        <v/>
      </c>
      <c r="H340" s="24" t="str">
        <f>IFERROR(VLOOKUP(A340,庫存!$A:$I,8,0),"")</f>
        <v/>
      </c>
      <c r="I340" s="24" t="str">
        <f>IFERROR(VLOOKUP(A340,庫存!$A:$I,9,0),"")</f>
        <v/>
      </c>
    </row>
    <row r="341" spans="1:9" ht="23" customHeight="1" x14ac:dyDescent="0.35">
      <c r="A341" s="57"/>
      <c r="B341" s="34" t="str">
        <f>IFERROR(VLOOKUP(A341,庫存!$A:$I,2,0),"")</f>
        <v/>
      </c>
      <c r="C341" s="34" t="str">
        <f>IFERROR(VLOOKUP(A341,庫存!$A:$I,3,0),"")</f>
        <v/>
      </c>
      <c r="D341" s="54"/>
      <c r="E341" s="35" t="str">
        <f t="shared" si="10"/>
        <v/>
      </c>
      <c r="F341" s="45" t="str">
        <f>IFERROR(VLOOKUP(A341,庫存!$A:$I,4,0),"0")</f>
        <v>0</v>
      </c>
      <c r="G341" s="43" t="str">
        <f t="shared" si="11"/>
        <v/>
      </c>
      <c r="H341" s="24" t="str">
        <f>IFERROR(VLOOKUP(A341,庫存!$A:$I,8,0),"")</f>
        <v/>
      </c>
      <c r="I341" s="24" t="str">
        <f>IFERROR(VLOOKUP(A341,庫存!$A:$I,9,0),"")</f>
        <v/>
      </c>
    </row>
    <row r="342" spans="1:9" ht="23" customHeight="1" x14ac:dyDescent="0.35">
      <c r="A342" s="57"/>
      <c r="B342" s="34" t="str">
        <f>IFERROR(VLOOKUP(A342,庫存!$A:$I,2,0),"")</f>
        <v/>
      </c>
      <c r="C342" s="34" t="str">
        <f>IFERROR(VLOOKUP(A342,庫存!$A:$I,3,0),"")</f>
        <v/>
      </c>
      <c r="D342" s="54"/>
      <c r="E342" s="35" t="str">
        <f t="shared" si="10"/>
        <v/>
      </c>
      <c r="F342" s="45" t="str">
        <f>IFERROR(VLOOKUP(A342,庫存!$A:$I,4,0),"0")</f>
        <v>0</v>
      </c>
      <c r="G342" s="43" t="str">
        <f t="shared" si="11"/>
        <v/>
      </c>
      <c r="H342" s="24" t="str">
        <f>IFERROR(VLOOKUP(A342,庫存!$A:$I,8,0),"")</f>
        <v/>
      </c>
      <c r="I342" s="24" t="str">
        <f>IFERROR(VLOOKUP(A342,庫存!$A:$I,9,0),"")</f>
        <v/>
      </c>
    </row>
    <row r="343" spans="1:9" ht="23" customHeight="1" x14ac:dyDescent="0.35">
      <c r="A343" s="57"/>
      <c r="B343" s="34" t="str">
        <f>IFERROR(VLOOKUP(A343,庫存!$A:$I,2,0),"")</f>
        <v/>
      </c>
      <c r="C343" s="34" t="str">
        <f>IFERROR(VLOOKUP(A343,庫存!$A:$I,3,0),"")</f>
        <v/>
      </c>
      <c r="D343" s="54"/>
      <c r="E343" s="35" t="str">
        <f t="shared" si="10"/>
        <v/>
      </c>
      <c r="F343" s="45" t="str">
        <f>IFERROR(VLOOKUP(A343,庫存!$A:$I,4,0),"0")</f>
        <v>0</v>
      </c>
      <c r="G343" s="43" t="str">
        <f t="shared" si="11"/>
        <v/>
      </c>
      <c r="H343" s="24" t="str">
        <f>IFERROR(VLOOKUP(A343,庫存!$A:$I,8,0),"")</f>
        <v/>
      </c>
      <c r="I343" s="24" t="str">
        <f>IFERROR(VLOOKUP(A343,庫存!$A:$I,9,0),"")</f>
        <v/>
      </c>
    </row>
    <row r="344" spans="1:9" ht="23" customHeight="1" x14ac:dyDescent="0.35">
      <c r="A344" s="57"/>
      <c r="B344" s="34" t="str">
        <f>IFERROR(VLOOKUP(A344,庫存!$A:$I,2,0),"")</f>
        <v/>
      </c>
      <c r="C344" s="34" t="str">
        <f>IFERROR(VLOOKUP(A344,庫存!$A:$I,3,0),"")</f>
        <v/>
      </c>
      <c r="D344" s="54"/>
      <c r="E344" s="35" t="str">
        <f t="shared" si="10"/>
        <v/>
      </c>
      <c r="F344" s="45" t="str">
        <f>IFERROR(VLOOKUP(A344,庫存!$A:$I,4,0),"0")</f>
        <v>0</v>
      </c>
      <c r="G344" s="43" t="str">
        <f t="shared" si="11"/>
        <v/>
      </c>
      <c r="H344" s="24" t="str">
        <f>IFERROR(VLOOKUP(A344,庫存!$A:$I,8,0),"")</f>
        <v/>
      </c>
      <c r="I344" s="24" t="str">
        <f>IFERROR(VLOOKUP(A344,庫存!$A:$I,9,0),"")</f>
        <v/>
      </c>
    </row>
    <row r="345" spans="1:9" ht="23" customHeight="1" x14ac:dyDescent="0.35">
      <c r="A345" s="57"/>
      <c r="B345" s="34" t="str">
        <f>IFERROR(VLOOKUP(A345,庫存!$A:$I,2,0),"")</f>
        <v/>
      </c>
      <c r="C345" s="34" t="str">
        <f>IFERROR(VLOOKUP(A345,庫存!$A:$I,3,0),"")</f>
        <v/>
      </c>
      <c r="D345" s="54"/>
      <c r="E345" s="35" t="str">
        <f t="shared" si="10"/>
        <v/>
      </c>
      <c r="F345" s="45" t="str">
        <f>IFERROR(VLOOKUP(A345,庫存!$A:$I,4,0),"0")</f>
        <v>0</v>
      </c>
      <c r="G345" s="43" t="str">
        <f t="shared" si="11"/>
        <v/>
      </c>
      <c r="H345" s="24" t="str">
        <f>IFERROR(VLOOKUP(A345,庫存!$A:$I,8,0),"")</f>
        <v/>
      </c>
      <c r="I345" s="24" t="str">
        <f>IFERROR(VLOOKUP(A345,庫存!$A:$I,9,0),"")</f>
        <v/>
      </c>
    </row>
    <row r="346" spans="1:9" ht="23" customHeight="1" x14ac:dyDescent="0.35">
      <c r="A346" s="57"/>
      <c r="B346" s="34" t="str">
        <f>IFERROR(VLOOKUP(A346,庫存!$A:$I,2,0),"")</f>
        <v/>
      </c>
      <c r="C346" s="34" t="str">
        <f>IFERROR(VLOOKUP(A346,庫存!$A:$I,3,0),"")</f>
        <v/>
      </c>
      <c r="D346" s="54"/>
      <c r="E346" s="35" t="str">
        <f t="shared" si="10"/>
        <v/>
      </c>
      <c r="F346" s="45" t="str">
        <f>IFERROR(VLOOKUP(A346,庫存!$A:$I,4,0),"0")</f>
        <v>0</v>
      </c>
      <c r="G346" s="43" t="str">
        <f t="shared" si="11"/>
        <v/>
      </c>
      <c r="H346" s="24" t="str">
        <f>IFERROR(VLOOKUP(A346,庫存!$A:$I,8,0),"")</f>
        <v/>
      </c>
      <c r="I346" s="24" t="str">
        <f>IFERROR(VLOOKUP(A346,庫存!$A:$I,9,0),"")</f>
        <v/>
      </c>
    </row>
    <row r="347" spans="1:9" ht="23" customHeight="1" x14ac:dyDescent="0.35">
      <c r="A347" s="57"/>
      <c r="B347" s="34" t="str">
        <f>IFERROR(VLOOKUP(A347,庫存!$A:$I,2,0),"")</f>
        <v/>
      </c>
      <c r="C347" s="34" t="str">
        <f>IFERROR(VLOOKUP(A347,庫存!$A:$I,3,0),"")</f>
        <v/>
      </c>
      <c r="D347" s="54"/>
      <c r="E347" s="35" t="str">
        <f t="shared" si="10"/>
        <v/>
      </c>
      <c r="F347" s="45" t="str">
        <f>IFERROR(VLOOKUP(A347,庫存!$A:$I,4,0),"0")</f>
        <v>0</v>
      </c>
      <c r="G347" s="43" t="str">
        <f t="shared" si="11"/>
        <v/>
      </c>
      <c r="H347" s="24" t="str">
        <f>IFERROR(VLOOKUP(A347,庫存!$A:$I,8,0),"")</f>
        <v/>
      </c>
      <c r="I347" s="24" t="str">
        <f>IFERROR(VLOOKUP(A347,庫存!$A:$I,9,0),"")</f>
        <v/>
      </c>
    </row>
    <row r="348" spans="1:9" ht="23" customHeight="1" x14ac:dyDescent="0.35">
      <c r="A348" s="57"/>
      <c r="B348" s="34" t="str">
        <f>IFERROR(VLOOKUP(A348,庫存!$A:$I,2,0),"")</f>
        <v/>
      </c>
      <c r="C348" s="34" t="str">
        <f>IFERROR(VLOOKUP(A348,庫存!$A:$I,3,0),"")</f>
        <v/>
      </c>
      <c r="D348" s="54"/>
      <c r="E348" s="35" t="str">
        <f t="shared" si="10"/>
        <v/>
      </c>
      <c r="F348" s="45" t="str">
        <f>IFERROR(VLOOKUP(A348,庫存!$A:$I,4,0),"0")</f>
        <v>0</v>
      </c>
      <c r="G348" s="43" t="str">
        <f t="shared" si="11"/>
        <v/>
      </c>
      <c r="H348" s="24" t="str">
        <f>IFERROR(VLOOKUP(A348,庫存!$A:$I,8,0),"")</f>
        <v/>
      </c>
      <c r="I348" s="24" t="str">
        <f>IFERROR(VLOOKUP(A348,庫存!$A:$I,9,0),"")</f>
        <v/>
      </c>
    </row>
    <row r="349" spans="1:9" ht="23" customHeight="1" x14ac:dyDescent="0.35">
      <c r="A349" s="57"/>
      <c r="B349" s="34" t="str">
        <f>IFERROR(VLOOKUP(A349,庫存!$A:$I,2,0),"")</f>
        <v/>
      </c>
      <c r="C349" s="34" t="str">
        <f>IFERROR(VLOOKUP(A349,庫存!$A:$I,3,0),"")</f>
        <v/>
      </c>
      <c r="D349" s="54"/>
      <c r="E349" s="35" t="str">
        <f t="shared" si="10"/>
        <v/>
      </c>
      <c r="F349" s="45" t="str">
        <f>IFERROR(VLOOKUP(A349,庫存!$A:$I,4,0),"0")</f>
        <v>0</v>
      </c>
      <c r="G349" s="43" t="str">
        <f t="shared" si="11"/>
        <v/>
      </c>
      <c r="H349" s="24" t="str">
        <f>IFERROR(VLOOKUP(A349,庫存!$A:$I,8,0),"")</f>
        <v/>
      </c>
      <c r="I349" s="24" t="str">
        <f>IFERROR(VLOOKUP(A349,庫存!$A:$I,9,0),"")</f>
        <v/>
      </c>
    </row>
    <row r="350" spans="1:9" ht="23" customHeight="1" x14ac:dyDescent="0.35">
      <c r="A350" s="57"/>
      <c r="B350" s="34" t="str">
        <f>IFERROR(VLOOKUP(A350,庫存!$A:$I,2,0),"")</f>
        <v/>
      </c>
      <c r="C350" s="34" t="str">
        <f>IFERROR(VLOOKUP(A350,庫存!$A:$I,3,0),"")</f>
        <v/>
      </c>
      <c r="D350" s="54"/>
      <c r="E350" s="35" t="str">
        <f t="shared" si="10"/>
        <v/>
      </c>
      <c r="F350" s="45" t="str">
        <f>IFERROR(VLOOKUP(A350,庫存!$A:$I,4,0),"0")</f>
        <v>0</v>
      </c>
      <c r="G350" s="43" t="str">
        <f t="shared" si="11"/>
        <v/>
      </c>
      <c r="H350" s="24" t="str">
        <f>IFERROR(VLOOKUP(A350,庫存!$A:$I,8,0),"")</f>
        <v/>
      </c>
      <c r="I350" s="24" t="str">
        <f>IFERROR(VLOOKUP(A350,庫存!$A:$I,9,0),"")</f>
        <v/>
      </c>
    </row>
    <row r="351" spans="1:9" ht="23" customHeight="1" x14ac:dyDescent="0.35">
      <c r="A351" s="57"/>
      <c r="B351" s="34" t="str">
        <f>IFERROR(VLOOKUP(A351,庫存!$A:$I,2,0),"")</f>
        <v/>
      </c>
      <c r="C351" s="34" t="str">
        <f>IFERROR(VLOOKUP(A351,庫存!$A:$I,3,0),"")</f>
        <v/>
      </c>
      <c r="D351" s="54"/>
      <c r="E351" s="35" t="str">
        <f t="shared" si="10"/>
        <v/>
      </c>
      <c r="F351" s="45" t="str">
        <f>IFERROR(VLOOKUP(A351,庫存!$A:$I,4,0),"0")</f>
        <v>0</v>
      </c>
      <c r="G351" s="43" t="str">
        <f t="shared" si="11"/>
        <v/>
      </c>
      <c r="H351" s="24" t="str">
        <f>IFERROR(VLOOKUP(A351,庫存!$A:$I,8,0),"")</f>
        <v/>
      </c>
      <c r="I351" s="24" t="str">
        <f>IFERROR(VLOOKUP(A351,庫存!$A:$I,9,0),"")</f>
        <v/>
      </c>
    </row>
    <row r="352" spans="1:9" ht="23" customHeight="1" x14ac:dyDescent="0.35">
      <c r="A352" s="57"/>
      <c r="B352" s="34" t="str">
        <f>IFERROR(VLOOKUP(A352,庫存!$A:$I,2,0),"")</f>
        <v/>
      </c>
      <c r="C352" s="34" t="str">
        <f>IFERROR(VLOOKUP(A352,庫存!$A:$I,3,0),"")</f>
        <v/>
      </c>
      <c r="D352" s="54"/>
      <c r="E352" s="35" t="str">
        <f t="shared" si="10"/>
        <v/>
      </c>
      <c r="F352" s="45" t="str">
        <f>IFERROR(VLOOKUP(A352,庫存!$A:$I,4,0),"0")</f>
        <v>0</v>
      </c>
      <c r="G352" s="43" t="str">
        <f t="shared" si="11"/>
        <v/>
      </c>
      <c r="H352" s="24" t="str">
        <f>IFERROR(VLOOKUP(A352,庫存!$A:$I,8,0),"")</f>
        <v/>
      </c>
      <c r="I352" s="24" t="str">
        <f>IFERROR(VLOOKUP(A352,庫存!$A:$I,9,0),"")</f>
        <v/>
      </c>
    </row>
    <row r="353" spans="1:9" ht="23" customHeight="1" x14ac:dyDescent="0.35">
      <c r="A353" s="57"/>
      <c r="B353" s="34" t="str">
        <f>IFERROR(VLOOKUP(A353,庫存!$A:$I,2,0),"")</f>
        <v/>
      </c>
      <c r="C353" s="34" t="str">
        <f>IFERROR(VLOOKUP(A353,庫存!$A:$I,3,0),"")</f>
        <v/>
      </c>
      <c r="D353" s="54"/>
      <c r="E353" s="35" t="str">
        <f t="shared" si="10"/>
        <v/>
      </c>
      <c r="F353" s="45" t="str">
        <f>IFERROR(VLOOKUP(A353,庫存!$A:$I,4,0),"0")</f>
        <v>0</v>
      </c>
      <c r="G353" s="43" t="str">
        <f t="shared" si="11"/>
        <v/>
      </c>
      <c r="H353" s="24" t="str">
        <f>IFERROR(VLOOKUP(A353,庫存!$A:$I,8,0),"")</f>
        <v/>
      </c>
      <c r="I353" s="24" t="str">
        <f>IFERROR(VLOOKUP(A353,庫存!$A:$I,9,0),"")</f>
        <v/>
      </c>
    </row>
    <row r="354" spans="1:9" ht="23" customHeight="1" x14ac:dyDescent="0.35">
      <c r="A354" s="57"/>
      <c r="B354" s="34" t="str">
        <f>IFERROR(VLOOKUP(A354,庫存!$A:$I,2,0),"")</f>
        <v/>
      </c>
      <c r="C354" s="34" t="str">
        <f>IFERROR(VLOOKUP(A354,庫存!$A:$I,3,0),"")</f>
        <v/>
      </c>
      <c r="D354" s="54"/>
      <c r="E354" s="35" t="str">
        <f t="shared" si="10"/>
        <v/>
      </c>
      <c r="F354" s="45" t="str">
        <f>IFERROR(VLOOKUP(A354,庫存!$A:$I,4,0),"0")</f>
        <v>0</v>
      </c>
      <c r="G354" s="43" t="str">
        <f t="shared" si="11"/>
        <v/>
      </c>
      <c r="H354" s="24" t="str">
        <f>IFERROR(VLOOKUP(A354,庫存!$A:$I,8,0),"")</f>
        <v/>
      </c>
      <c r="I354" s="24" t="str">
        <f>IFERROR(VLOOKUP(A354,庫存!$A:$I,9,0),"")</f>
        <v/>
      </c>
    </row>
    <row r="355" spans="1:9" ht="23" customHeight="1" x14ac:dyDescent="0.35">
      <c r="A355" s="57"/>
      <c r="B355" s="34" t="str">
        <f>IFERROR(VLOOKUP(A355,庫存!$A:$I,2,0),"")</f>
        <v/>
      </c>
      <c r="C355" s="34" t="str">
        <f>IFERROR(VLOOKUP(A355,庫存!$A:$I,3,0),"")</f>
        <v/>
      </c>
      <c r="D355" s="54"/>
      <c r="E355" s="35" t="str">
        <f t="shared" si="10"/>
        <v/>
      </c>
      <c r="F355" s="45" t="str">
        <f>IFERROR(VLOOKUP(A355,庫存!$A:$I,4,0),"0")</f>
        <v>0</v>
      </c>
      <c r="G355" s="43" t="str">
        <f t="shared" si="11"/>
        <v/>
      </c>
      <c r="H355" s="24" t="str">
        <f>IFERROR(VLOOKUP(A355,庫存!$A:$I,8,0),"")</f>
        <v/>
      </c>
      <c r="I355" s="24" t="str">
        <f>IFERROR(VLOOKUP(A355,庫存!$A:$I,9,0),"")</f>
        <v/>
      </c>
    </row>
    <row r="356" spans="1:9" ht="23" customHeight="1" x14ac:dyDescent="0.35">
      <c r="A356" s="57"/>
      <c r="B356" s="34" t="str">
        <f>IFERROR(VLOOKUP(A356,庫存!$A:$I,2,0),"")</f>
        <v/>
      </c>
      <c r="C356" s="34" t="str">
        <f>IFERROR(VLOOKUP(A356,庫存!$A:$I,3,0),"")</f>
        <v/>
      </c>
      <c r="D356" s="54"/>
      <c r="E356" s="35" t="str">
        <f t="shared" si="10"/>
        <v/>
      </c>
      <c r="F356" s="45" t="str">
        <f>IFERROR(VLOOKUP(A356,庫存!$A:$I,4,0),"0")</f>
        <v>0</v>
      </c>
      <c r="G356" s="43" t="str">
        <f t="shared" si="11"/>
        <v/>
      </c>
      <c r="H356" s="24" t="str">
        <f>IFERROR(VLOOKUP(A356,庫存!$A:$I,8,0),"")</f>
        <v/>
      </c>
      <c r="I356" s="24" t="str">
        <f>IFERROR(VLOOKUP(A356,庫存!$A:$I,9,0),"")</f>
        <v/>
      </c>
    </row>
    <row r="357" spans="1:9" ht="23" customHeight="1" x14ac:dyDescent="0.35">
      <c r="A357" s="57"/>
      <c r="B357" s="34" t="str">
        <f>IFERROR(VLOOKUP(A357,庫存!$A:$I,2,0),"")</f>
        <v/>
      </c>
      <c r="C357" s="34" t="str">
        <f>IFERROR(VLOOKUP(A357,庫存!$A:$I,3,0),"")</f>
        <v/>
      </c>
      <c r="D357" s="54"/>
      <c r="E357" s="35" t="str">
        <f t="shared" si="10"/>
        <v/>
      </c>
      <c r="F357" s="45" t="str">
        <f>IFERROR(VLOOKUP(A357,庫存!$A:$I,4,0),"0")</f>
        <v>0</v>
      </c>
      <c r="G357" s="43" t="str">
        <f t="shared" si="11"/>
        <v/>
      </c>
      <c r="H357" s="24" t="str">
        <f>IFERROR(VLOOKUP(A357,庫存!$A:$I,8,0),"")</f>
        <v/>
      </c>
      <c r="I357" s="24" t="str">
        <f>IFERROR(VLOOKUP(A357,庫存!$A:$I,9,0),"")</f>
        <v/>
      </c>
    </row>
    <row r="358" spans="1:9" ht="23" customHeight="1" x14ac:dyDescent="0.35">
      <c r="A358" s="57"/>
      <c r="B358" s="34" t="str">
        <f>IFERROR(VLOOKUP(A358,庫存!$A:$I,2,0),"")</f>
        <v/>
      </c>
      <c r="C358" s="34" t="str">
        <f>IFERROR(VLOOKUP(A358,庫存!$A:$I,3,0),"")</f>
        <v/>
      </c>
      <c r="D358" s="54"/>
      <c r="E358" s="35" t="str">
        <f t="shared" si="10"/>
        <v/>
      </c>
      <c r="F358" s="45" t="str">
        <f>IFERROR(VLOOKUP(A358,庫存!$A:$I,4,0),"0")</f>
        <v>0</v>
      </c>
      <c r="G358" s="43" t="str">
        <f t="shared" si="11"/>
        <v/>
      </c>
      <c r="H358" s="24" t="str">
        <f>IFERROR(VLOOKUP(A358,庫存!$A:$I,8,0),"")</f>
        <v/>
      </c>
      <c r="I358" s="24" t="str">
        <f>IFERROR(VLOOKUP(A358,庫存!$A:$I,9,0),"")</f>
        <v/>
      </c>
    </row>
    <row r="359" spans="1:9" ht="23" customHeight="1" x14ac:dyDescent="0.35">
      <c r="A359" s="57"/>
      <c r="B359" s="34" t="str">
        <f>IFERROR(VLOOKUP(A359,庫存!$A:$I,2,0),"")</f>
        <v/>
      </c>
      <c r="C359" s="34" t="str">
        <f>IFERROR(VLOOKUP(A359,庫存!$A:$I,3,0),"")</f>
        <v/>
      </c>
      <c r="D359" s="54"/>
      <c r="E359" s="35" t="str">
        <f t="shared" si="10"/>
        <v/>
      </c>
      <c r="F359" s="45" t="str">
        <f>IFERROR(VLOOKUP(A359,庫存!$A:$I,4,0),"0")</f>
        <v>0</v>
      </c>
      <c r="G359" s="43" t="str">
        <f t="shared" si="11"/>
        <v/>
      </c>
      <c r="H359" s="24" t="str">
        <f>IFERROR(VLOOKUP(A359,庫存!$A:$I,8,0),"")</f>
        <v/>
      </c>
      <c r="I359" s="24" t="str">
        <f>IFERROR(VLOOKUP(A359,庫存!$A:$I,9,0),"")</f>
        <v/>
      </c>
    </row>
    <row r="360" spans="1:9" ht="23" customHeight="1" x14ac:dyDescent="0.35">
      <c r="A360" s="57"/>
      <c r="B360" s="34" t="str">
        <f>IFERROR(VLOOKUP(A360,庫存!$A:$I,2,0),"")</f>
        <v/>
      </c>
      <c r="C360" s="34" t="str">
        <f>IFERROR(VLOOKUP(A360,庫存!$A:$I,3,0),"")</f>
        <v/>
      </c>
      <c r="D360" s="54"/>
      <c r="E360" s="35" t="str">
        <f t="shared" si="10"/>
        <v/>
      </c>
      <c r="F360" s="45" t="str">
        <f>IFERROR(VLOOKUP(A360,庫存!$A:$I,4,0),"0")</f>
        <v>0</v>
      </c>
      <c r="G360" s="43" t="str">
        <f t="shared" si="11"/>
        <v/>
      </c>
      <c r="H360" s="24" t="str">
        <f>IFERROR(VLOOKUP(A360,庫存!$A:$I,8,0),"")</f>
        <v/>
      </c>
      <c r="I360" s="24" t="str">
        <f>IFERROR(VLOOKUP(A360,庫存!$A:$I,9,0),"")</f>
        <v/>
      </c>
    </row>
    <row r="361" spans="1:9" ht="23" customHeight="1" x14ac:dyDescent="0.35">
      <c r="A361" s="57"/>
      <c r="B361" s="34" t="str">
        <f>IFERROR(VLOOKUP(A361,庫存!$A:$I,2,0),"")</f>
        <v/>
      </c>
      <c r="C361" s="34" t="str">
        <f>IFERROR(VLOOKUP(A361,庫存!$A:$I,3,0),"")</f>
        <v/>
      </c>
      <c r="D361" s="54"/>
      <c r="E361" s="35" t="str">
        <f t="shared" si="10"/>
        <v/>
      </c>
      <c r="F361" s="45" t="str">
        <f>IFERROR(VLOOKUP(A361,庫存!$A:$I,4,0),"0")</f>
        <v>0</v>
      </c>
      <c r="G361" s="43" t="str">
        <f t="shared" si="11"/>
        <v/>
      </c>
      <c r="H361" s="24" t="str">
        <f>IFERROR(VLOOKUP(A361,庫存!$A:$I,8,0),"")</f>
        <v/>
      </c>
      <c r="I361" s="24" t="str">
        <f>IFERROR(VLOOKUP(A361,庫存!$A:$I,9,0),"")</f>
        <v/>
      </c>
    </row>
    <row r="362" spans="1:9" ht="23" customHeight="1" x14ac:dyDescent="0.35">
      <c r="A362" s="57"/>
      <c r="B362" s="34" t="str">
        <f>IFERROR(VLOOKUP(A362,庫存!$A:$I,2,0),"")</f>
        <v/>
      </c>
      <c r="C362" s="34" t="str">
        <f>IFERROR(VLOOKUP(A362,庫存!$A:$I,3,0),"")</f>
        <v/>
      </c>
      <c r="D362" s="54"/>
      <c r="E362" s="35" t="str">
        <f t="shared" si="10"/>
        <v/>
      </c>
      <c r="F362" s="45" t="str">
        <f>IFERROR(VLOOKUP(A362,庫存!$A:$I,4,0),"0")</f>
        <v>0</v>
      </c>
      <c r="G362" s="43" t="str">
        <f t="shared" si="11"/>
        <v/>
      </c>
      <c r="H362" s="24" t="str">
        <f>IFERROR(VLOOKUP(A362,庫存!$A:$I,8,0),"")</f>
        <v/>
      </c>
      <c r="I362" s="24" t="str">
        <f>IFERROR(VLOOKUP(A362,庫存!$A:$I,9,0),"")</f>
        <v/>
      </c>
    </row>
    <row r="363" spans="1:9" ht="23" customHeight="1" x14ac:dyDescent="0.35">
      <c r="A363" s="57"/>
      <c r="B363" s="34" t="str">
        <f>IFERROR(VLOOKUP(A363,庫存!$A:$I,2,0),"")</f>
        <v/>
      </c>
      <c r="C363" s="34" t="str">
        <f>IFERROR(VLOOKUP(A363,庫存!$A:$I,3,0),"")</f>
        <v/>
      </c>
      <c r="D363" s="54"/>
      <c r="E363" s="35" t="str">
        <f t="shared" si="10"/>
        <v/>
      </c>
      <c r="F363" s="45" t="str">
        <f>IFERROR(VLOOKUP(A363,庫存!$A:$I,4,0),"0")</f>
        <v>0</v>
      </c>
      <c r="G363" s="43" t="str">
        <f t="shared" si="11"/>
        <v/>
      </c>
      <c r="H363" s="24" t="str">
        <f>IFERROR(VLOOKUP(A363,庫存!$A:$I,8,0),"")</f>
        <v/>
      </c>
      <c r="I363" s="24" t="str">
        <f>IFERROR(VLOOKUP(A363,庫存!$A:$I,9,0),"")</f>
        <v/>
      </c>
    </row>
    <row r="364" spans="1:9" ht="23" customHeight="1" x14ac:dyDescent="0.35">
      <c r="A364" s="57"/>
      <c r="B364" s="34" t="str">
        <f>IFERROR(VLOOKUP(A364,庫存!$A:$I,2,0),"")</f>
        <v/>
      </c>
      <c r="C364" s="34" t="str">
        <f>IFERROR(VLOOKUP(A364,庫存!$A:$I,3,0),"")</f>
        <v/>
      </c>
      <c r="D364" s="54"/>
      <c r="E364" s="35" t="str">
        <f t="shared" si="10"/>
        <v/>
      </c>
      <c r="F364" s="45" t="str">
        <f>IFERROR(VLOOKUP(A364,庫存!$A:$I,4,0),"0")</f>
        <v>0</v>
      </c>
      <c r="G364" s="43" t="str">
        <f t="shared" si="11"/>
        <v/>
      </c>
      <c r="H364" s="24" t="str">
        <f>IFERROR(VLOOKUP(A364,庫存!$A:$I,8,0),"")</f>
        <v/>
      </c>
      <c r="I364" s="24" t="str">
        <f>IFERROR(VLOOKUP(A364,庫存!$A:$I,9,0),"")</f>
        <v/>
      </c>
    </row>
    <row r="365" spans="1:9" ht="23" customHeight="1" x14ac:dyDescent="0.35">
      <c r="A365" s="57"/>
      <c r="B365" s="34" t="str">
        <f>IFERROR(VLOOKUP(A365,庫存!$A:$I,2,0),"")</f>
        <v/>
      </c>
      <c r="C365" s="34" t="str">
        <f>IFERROR(VLOOKUP(A365,庫存!$A:$I,3,0),"")</f>
        <v/>
      </c>
      <c r="D365" s="54"/>
      <c r="E365" s="35" t="str">
        <f t="shared" si="10"/>
        <v/>
      </c>
      <c r="F365" s="45" t="str">
        <f>IFERROR(VLOOKUP(A365,庫存!$A:$I,4,0),"0")</f>
        <v>0</v>
      </c>
      <c r="G365" s="43" t="str">
        <f t="shared" si="11"/>
        <v/>
      </c>
      <c r="H365" s="24" t="str">
        <f>IFERROR(VLOOKUP(A365,庫存!$A:$I,8,0),"")</f>
        <v/>
      </c>
      <c r="I365" s="24" t="str">
        <f>IFERROR(VLOOKUP(A365,庫存!$A:$I,9,0),"")</f>
        <v/>
      </c>
    </row>
    <row r="366" spans="1:9" ht="23" customHeight="1" x14ac:dyDescent="0.35">
      <c r="A366" s="57"/>
      <c r="B366" s="34" t="str">
        <f>IFERROR(VLOOKUP(A366,庫存!$A:$I,2,0),"")</f>
        <v/>
      </c>
      <c r="C366" s="34" t="str">
        <f>IFERROR(VLOOKUP(A366,庫存!$A:$I,3,0),"")</f>
        <v/>
      </c>
      <c r="D366" s="54"/>
      <c r="E366" s="35" t="str">
        <f t="shared" si="10"/>
        <v/>
      </c>
      <c r="F366" s="45" t="str">
        <f>IFERROR(VLOOKUP(A366,庫存!$A:$I,4,0),"0")</f>
        <v>0</v>
      </c>
      <c r="G366" s="43" t="str">
        <f t="shared" si="11"/>
        <v/>
      </c>
      <c r="H366" s="24" t="str">
        <f>IFERROR(VLOOKUP(A366,庫存!$A:$I,8,0),"")</f>
        <v/>
      </c>
      <c r="I366" s="24" t="str">
        <f>IFERROR(VLOOKUP(A366,庫存!$A:$I,9,0),"")</f>
        <v/>
      </c>
    </row>
    <row r="367" spans="1:9" ht="23" customHeight="1" x14ac:dyDescent="0.35">
      <c r="A367" s="57"/>
      <c r="B367" s="34" t="str">
        <f>IFERROR(VLOOKUP(A367,庫存!$A:$I,2,0),"")</f>
        <v/>
      </c>
      <c r="C367" s="34" t="str">
        <f>IFERROR(VLOOKUP(A367,庫存!$A:$I,3,0),"")</f>
        <v/>
      </c>
      <c r="D367" s="54"/>
      <c r="E367" s="35" t="str">
        <f t="shared" si="10"/>
        <v/>
      </c>
      <c r="F367" s="45" t="str">
        <f>IFERROR(VLOOKUP(A367,庫存!$A:$I,4,0),"0")</f>
        <v>0</v>
      </c>
      <c r="G367" s="43" t="str">
        <f t="shared" si="11"/>
        <v/>
      </c>
      <c r="H367" s="24" t="str">
        <f>IFERROR(VLOOKUP(A367,庫存!$A:$I,8,0),"")</f>
        <v/>
      </c>
      <c r="I367" s="24" t="str">
        <f>IFERROR(VLOOKUP(A367,庫存!$A:$I,9,0),"")</f>
        <v/>
      </c>
    </row>
    <row r="368" spans="1:9" ht="23" customHeight="1" x14ac:dyDescent="0.35">
      <c r="A368" s="57"/>
      <c r="B368" s="34" t="str">
        <f>IFERROR(VLOOKUP(A368,庫存!$A:$I,2,0),"")</f>
        <v/>
      </c>
      <c r="C368" s="34" t="str">
        <f>IFERROR(VLOOKUP(A368,庫存!$A:$I,3,0),"")</f>
        <v/>
      </c>
      <c r="D368" s="54"/>
      <c r="E368" s="35" t="str">
        <f t="shared" si="10"/>
        <v/>
      </c>
      <c r="F368" s="45" t="str">
        <f>IFERROR(VLOOKUP(A368,庫存!$A:$I,4,0),"0")</f>
        <v>0</v>
      </c>
      <c r="G368" s="43" t="str">
        <f t="shared" si="11"/>
        <v/>
      </c>
      <c r="H368" s="24" t="str">
        <f>IFERROR(VLOOKUP(A368,庫存!$A:$I,8,0),"")</f>
        <v/>
      </c>
      <c r="I368" s="24" t="str">
        <f>IFERROR(VLOOKUP(A368,庫存!$A:$I,9,0),"")</f>
        <v/>
      </c>
    </row>
    <row r="369" spans="1:9" ht="23" customHeight="1" x14ac:dyDescent="0.35">
      <c r="A369" s="57"/>
      <c r="B369" s="34" t="str">
        <f>IFERROR(VLOOKUP(A369,庫存!$A:$I,2,0),"")</f>
        <v/>
      </c>
      <c r="C369" s="34" t="str">
        <f>IFERROR(VLOOKUP(A369,庫存!$A:$I,3,0),"")</f>
        <v/>
      </c>
      <c r="D369" s="54"/>
      <c r="E369" s="35" t="str">
        <f t="shared" si="10"/>
        <v/>
      </c>
      <c r="F369" s="45" t="str">
        <f>IFERROR(VLOOKUP(A369,庫存!$A:$I,4,0),"0")</f>
        <v>0</v>
      </c>
      <c r="G369" s="43" t="str">
        <f t="shared" si="11"/>
        <v/>
      </c>
      <c r="H369" s="24" t="str">
        <f>IFERROR(VLOOKUP(A369,庫存!$A:$I,8,0),"")</f>
        <v/>
      </c>
      <c r="I369" s="24" t="str">
        <f>IFERROR(VLOOKUP(A369,庫存!$A:$I,9,0),"")</f>
        <v/>
      </c>
    </row>
    <row r="370" spans="1:9" ht="23" customHeight="1" x14ac:dyDescent="0.35">
      <c r="A370" s="57"/>
      <c r="B370" s="34" t="str">
        <f>IFERROR(VLOOKUP(A370,庫存!$A:$I,2,0),"")</f>
        <v/>
      </c>
      <c r="C370" s="34" t="str">
        <f>IFERROR(VLOOKUP(A370,庫存!$A:$I,3,0),"")</f>
        <v/>
      </c>
      <c r="D370" s="54"/>
      <c r="E370" s="35" t="str">
        <f t="shared" si="10"/>
        <v/>
      </c>
      <c r="F370" s="45" t="str">
        <f>IFERROR(VLOOKUP(A370,庫存!$A:$I,4,0),"0")</f>
        <v>0</v>
      </c>
      <c r="G370" s="43" t="str">
        <f t="shared" si="11"/>
        <v/>
      </c>
      <c r="H370" s="24" t="str">
        <f>IFERROR(VLOOKUP(A370,庫存!$A:$I,8,0),"")</f>
        <v/>
      </c>
      <c r="I370" s="24" t="str">
        <f>IFERROR(VLOOKUP(A370,庫存!$A:$I,9,0),"")</f>
        <v/>
      </c>
    </row>
    <row r="371" spans="1:9" ht="23" customHeight="1" x14ac:dyDescent="0.35">
      <c r="A371" s="57"/>
      <c r="B371" s="34" t="str">
        <f>IFERROR(VLOOKUP(A371,庫存!$A:$I,2,0),"")</f>
        <v/>
      </c>
      <c r="C371" s="34" t="str">
        <f>IFERROR(VLOOKUP(A371,庫存!$A:$I,3,0),"")</f>
        <v/>
      </c>
      <c r="D371" s="54"/>
      <c r="E371" s="35" t="str">
        <f t="shared" si="10"/>
        <v/>
      </c>
      <c r="F371" s="45" t="str">
        <f>IFERROR(VLOOKUP(A371,庫存!$A:$I,4,0),"0")</f>
        <v>0</v>
      </c>
      <c r="G371" s="43" t="str">
        <f t="shared" si="11"/>
        <v/>
      </c>
      <c r="H371" s="24" t="str">
        <f>IFERROR(VLOOKUP(A371,庫存!$A:$I,8,0),"")</f>
        <v/>
      </c>
      <c r="I371" s="24" t="str">
        <f>IFERROR(VLOOKUP(A371,庫存!$A:$I,9,0),"")</f>
        <v/>
      </c>
    </row>
    <row r="372" spans="1:9" ht="23" customHeight="1" x14ac:dyDescent="0.35">
      <c r="A372" s="57"/>
      <c r="B372" s="34" t="str">
        <f>IFERROR(VLOOKUP(A372,庫存!$A:$I,2,0),"")</f>
        <v/>
      </c>
      <c r="C372" s="34" t="str">
        <f>IFERROR(VLOOKUP(A372,庫存!$A:$I,3,0),"")</f>
        <v/>
      </c>
      <c r="D372" s="54"/>
      <c r="E372" s="35" t="str">
        <f t="shared" si="10"/>
        <v/>
      </c>
      <c r="F372" s="45" t="str">
        <f>IFERROR(VLOOKUP(A372,庫存!$A:$I,4,0),"0")</f>
        <v>0</v>
      </c>
      <c r="G372" s="43" t="str">
        <f t="shared" si="11"/>
        <v/>
      </c>
      <c r="H372" s="24" t="str">
        <f>IFERROR(VLOOKUP(A372,庫存!$A:$I,8,0),"")</f>
        <v/>
      </c>
      <c r="I372" s="24" t="str">
        <f>IFERROR(VLOOKUP(A372,庫存!$A:$I,9,0),"")</f>
        <v/>
      </c>
    </row>
    <row r="373" spans="1:9" ht="23" customHeight="1" x14ac:dyDescent="0.35">
      <c r="A373" s="57"/>
      <c r="B373" s="34" t="str">
        <f>IFERROR(VLOOKUP(A373,庫存!$A:$I,2,0),"")</f>
        <v/>
      </c>
      <c r="C373" s="34" t="str">
        <f>IFERROR(VLOOKUP(A373,庫存!$A:$I,3,0),"")</f>
        <v/>
      </c>
      <c r="D373" s="54"/>
      <c r="E373" s="35" t="str">
        <f t="shared" si="10"/>
        <v/>
      </c>
      <c r="F373" s="45" t="str">
        <f>IFERROR(VLOOKUP(A373,庫存!$A:$I,4,0),"0")</f>
        <v>0</v>
      </c>
      <c r="G373" s="43" t="str">
        <f t="shared" si="11"/>
        <v/>
      </c>
      <c r="H373" s="24" t="str">
        <f>IFERROR(VLOOKUP(A373,庫存!$A:$I,8,0),"")</f>
        <v/>
      </c>
      <c r="I373" s="24" t="str">
        <f>IFERROR(VLOOKUP(A373,庫存!$A:$I,9,0),"")</f>
        <v/>
      </c>
    </row>
    <row r="374" spans="1:9" ht="23" customHeight="1" x14ac:dyDescent="0.35">
      <c r="A374" s="57"/>
      <c r="B374" s="34" t="str">
        <f>IFERROR(VLOOKUP(A374,庫存!$A:$I,2,0),"")</f>
        <v/>
      </c>
      <c r="C374" s="34" t="str">
        <f>IFERROR(VLOOKUP(A374,庫存!$A:$I,3,0),"")</f>
        <v/>
      </c>
      <c r="D374" s="54"/>
      <c r="E374" s="35" t="str">
        <f t="shared" si="10"/>
        <v/>
      </c>
      <c r="F374" s="45" t="str">
        <f>IFERROR(VLOOKUP(A374,庫存!$A:$I,4,0),"0")</f>
        <v>0</v>
      </c>
      <c r="G374" s="43" t="str">
        <f t="shared" si="11"/>
        <v/>
      </c>
      <c r="H374" s="24" t="str">
        <f>IFERROR(VLOOKUP(A374,庫存!$A:$I,8,0),"")</f>
        <v/>
      </c>
      <c r="I374" s="24" t="str">
        <f>IFERROR(VLOOKUP(A374,庫存!$A:$I,9,0),"")</f>
        <v/>
      </c>
    </row>
    <row r="375" spans="1:9" ht="23" customHeight="1" x14ac:dyDescent="0.35">
      <c r="A375" s="57"/>
      <c r="B375" s="34" t="str">
        <f>IFERROR(VLOOKUP(A375,庫存!$A:$I,2,0),"")</f>
        <v/>
      </c>
      <c r="C375" s="34" t="str">
        <f>IFERROR(VLOOKUP(A375,庫存!$A:$I,3,0),"")</f>
        <v/>
      </c>
      <c r="D375" s="54"/>
      <c r="E375" s="35" t="str">
        <f t="shared" si="10"/>
        <v/>
      </c>
      <c r="F375" s="45" t="str">
        <f>IFERROR(VLOOKUP(A375,庫存!$A:$I,4,0),"0")</f>
        <v>0</v>
      </c>
      <c r="G375" s="43" t="str">
        <f t="shared" si="11"/>
        <v/>
      </c>
      <c r="H375" s="24" t="str">
        <f>IFERROR(VLOOKUP(A375,庫存!$A:$I,8,0),"")</f>
        <v/>
      </c>
      <c r="I375" s="24" t="str">
        <f>IFERROR(VLOOKUP(A375,庫存!$A:$I,9,0),"")</f>
        <v/>
      </c>
    </row>
    <row r="376" spans="1:9" ht="23" customHeight="1" x14ac:dyDescent="0.35">
      <c r="A376" s="57"/>
      <c r="B376" s="34" t="str">
        <f>IFERROR(VLOOKUP(A376,庫存!$A:$I,2,0),"")</f>
        <v/>
      </c>
      <c r="C376" s="34" t="str">
        <f>IFERROR(VLOOKUP(A376,庫存!$A:$I,3,0),"")</f>
        <v/>
      </c>
      <c r="D376" s="54"/>
      <c r="E376" s="35" t="str">
        <f t="shared" si="10"/>
        <v/>
      </c>
      <c r="F376" s="45" t="str">
        <f>IFERROR(VLOOKUP(A376,庫存!$A:$I,4,0),"0")</f>
        <v>0</v>
      </c>
      <c r="G376" s="43" t="str">
        <f t="shared" si="11"/>
        <v/>
      </c>
      <c r="H376" s="24" t="str">
        <f>IFERROR(VLOOKUP(A376,庫存!$A:$I,8,0),"")</f>
        <v/>
      </c>
      <c r="I376" s="24" t="str">
        <f>IFERROR(VLOOKUP(A376,庫存!$A:$I,9,0),"")</f>
        <v/>
      </c>
    </row>
    <row r="377" spans="1:9" ht="23" customHeight="1" x14ac:dyDescent="0.35">
      <c r="A377" s="57"/>
      <c r="B377" s="34" t="str">
        <f>IFERROR(VLOOKUP(A377,庫存!$A:$I,2,0),"")</f>
        <v/>
      </c>
      <c r="C377" s="34" t="str">
        <f>IFERROR(VLOOKUP(A377,庫存!$A:$I,3,0),"")</f>
        <v/>
      </c>
      <c r="D377" s="54"/>
      <c r="E377" s="35" t="str">
        <f t="shared" si="10"/>
        <v/>
      </c>
      <c r="F377" s="45" t="str">
        <f>IFERROR(VLOOKUP(A377,庫存!$A:$I,4,0),"0")</f>
        <v>0</v>
      </c>
      <c r="G377" s="43" t="str">
        <f t="shared" si="11"/>
        <v/>
      </c>
      <c r="H377" s="24" t="str">
        <f>IFERROR(VLOOKUP(A377,庫存!$A:$I,8,0),"")</f>
        <v/>
      </c>
      <c r="I377" s="24" t="str">
        <f>IFERROR(VLOOKUP(A377,庫存!$A:$I,9,0),"")</f>
        <v/>
      </c>
    </row>
    <row r="378" spans="1:9" ht="23" customHeight="1" x14ac:dyDescent="0.35">
      <c r="A378" s="57"/>
      <c r="B378" s="34" t="str">
        <f>IFERROR(VLOOKUP(A378,庫存!$A:$I,2,0),"")</f>
        <v/>
      </c>
      <c r="C378" s="34" t="str">
        <f>IFERROR(VLOOKUP(A378,庫存!$A:$I,3,0),"")</f>
        <v/>
      </c>
      <c r="D378" s="54"/>
      <c r="E378" s="35" t="str">
        <f t="shared" si="10"/>
        <v/>
      </c>
      <c r="F378" s="45" t="str">
        <f>IFERROR(VLOOKUP(A378,庫存!$A:$I,4,0),"0")</f>
        <v>0</v>
      </c>
      <c r="G378" s="43" t="str">
        <f t="shared" si="11"/>
        <v/>
      </c>
      <c r="H378" s="24" t="str">
        <f>IFERROR(VLOOKUP(A378,庫存!$A:$I,8,0),"")</f>
        <v/>
      </c>
      <c r="I378" s="24" t="str">
        <f>IFERROR(VLOOKUP(A378,庫存!$A:$I,9,0),"")</f>
        <v/>
      </c>
    </row>
    <row r="379" spans="1:9" ht="23" customHeight="1" x14ac:dyDescent="0.35">
      <c r="A379" s="57"/>
      <c r="B379" s="34" t="str">
        <f>IFERROR(VLOOKUP(A379,庫存!$A:$I,2,0),"")</f>
        <v/>
      </c>
      <c r="C379" s="34" t="str">
        <f>IFERROR(VLOOKUP(A379,庫存!$A:$I,3,0),"")</f>
        <v/>
      </c>
      <c r="D379" s="54"/>
      <c r="E379" s="35" t="str">
        <f t="shared" si="10"/>
        <v/>
      </c>
      <c r="F379" s="45" t="str">
        <f>IFERROR(VLOOKUP(A379,庫存!$A:$I,4,0),"0")</f>
        <v>0</v>
      </c>
      <c r="G379" s="43" t="str">
        <f t="shared" si="11"/>
        <v/>
      </c>
      <c r="H379" s="24" t="str">
        <f>IFERROR(VLOOKUP(A379,庫存!$A:$I,8,0),"")</f>
        <v/>
      </c>
      <c r="I379" s="24" t="str">
        <f>IFERROR(VLOOKUP(A379,庫存!$A:$I,9,0),"")</f>
        <v/>
      </c>
    </row>
    <row r="380" spans="1:9" ht="23" customHeight="1" x14ac:dyDescent="0.35">
      <c r="A380" s="57"/>
      <c r="B380" s="34" t="str">
        <f>IFERROR(VLOOKUP(A380,庫存!$A:$I,2,0),"")</f>
        <v/>
      </c>
      <c r="C380" s="34" t="str">
        <f>IFERROR(VLOOKUP(A380,庫存!$A:$I,3,0),"")</f>
        <v/>
      </c>
      <c r="D380" s="54"/>
      <c r="E380" s="35" t="str">
        <f t="shared" si="10"/>
        <v/>
      </c>
      <c r="F380" s="45" t="str">
        <f>IFERROR(VLOOKUP(A380,庫存!$A:$I,4,0),"0")</f>
        <v>0</v>
      </c>
      <c r="G380" s="43" t="str">
        <f t="shared" si="11"/>
        <v/>
      </c>
      <c r="H380" s="24" t="str">
        <f>IFERROR(VLOOKUP(A380,庫存!$A:$I,8,0),"")</f>
        <v/>
      </c>
      <c r="I380" s="24" t="str">
        <f>IFERROR(VLOOKUP(A380,庫存!$A:$I,9,0),"")</f>
        <v/>
      </c>
    </row>
    <row r="381" spans="1:9" ht="23" customHeight="1" x14ac:dyDescent="0.35">
      <c r="A381" s="57"/>
      <c r="B381" s="34" t="str">
        <f>IFERROR(VLOOKUP(A381,庫存!$A:$I,2,0),"")</f>
        <v/>
      </c>
      <c r="C381" s="34" t="str">
        <f>IFERROR(VLOOKUP(A381,庫存!$A:$I,3,0),"")</f>
        <v/>
      </c>
      <c r="D381" s="54"/>
      <c r="E381" s="35" t="str">
        <f t="shared" si="10"/>
        <v/>
      </c>
      <c r="F381" s="45" t="str">
        <f>IFERROR(VLOOKUP(A381,庫存!$A:$I,4,0),"0")</f>
        <v>0</v>
      </c>
      <c r="G381" s="43" t="str">
        <f t="shared" si="11"/>
        <v/>
      </c>
      <c r="H381" s="24" t="str">
        <f>IFERROR(VLOOKUP(A381,庫存!$A:$I,8,0),"")</f>
        <v/>
      </c>
      <c r="I381" s="24" t="str">
        <f>IFERROR(VLOOKUP(A381,庫存!$A:$I,9,0),"")</f>
        <v/>
      </c>
    </row>
    <row r="382" spans="1:9" ht="23" customHeight="1" x14ac:dyDescent="0.35">
      <c r="A382" s="57"/>
      <c r="B382" s="34" t="str">
        <f>IFERROR(VLOOKUP(A382,庫存!$A:$I,2,0),"")</f>
        <v/>
      </c>
      <c r="C382" s="34" t="str">
        <f>IFERROR(VLOOKUP(A382,庫存!$A:$I,3,0),"")</f>
        <v/>
      </c>
      <c r="D382" s="54"/>
      <c r="E382" s="35" t="str">
        <f t="shared" si="10"/>
        <v/>
      </c>
      <c r="F382" s="45" t="str">
        <f>IFERROR(VLOOKUP(A382,庫存!$A:$I,4,0),"0")</f>
        <v>0</v>
      </c>
      <c r="G382" s="43" t="str">
        <f t="shared" si="11"/>
        <v/>
      </c>
      <c r="H382" s="24" t="str">
        <f>IFERROR(VLOOKUP(A382,庫存!$A:$I,8,0),"")</f>
        <v/>
      </c>
      <c r="I382" s="24" t="str">
        <f>IFERROR(VLOOKUP(A382,庫存!$A:$I,9,0),"")</f>
        <v/>
      </c>
    </row>
    <row r="383" spans="1:9" ht="23" customHeight="1" x14ac:dyDescent="0.35">
      <c r="A383" s="57"/>
      <c r="B383" s="34" t="str">
        <f>IFERROR(VLOOKUP(A383,庫存!$A:$I,2,0),"")</f>
        <v/>
      </c>
      <c r="C383" s="34" t="str">
        <f>IFERROR(VLOOKUP(A383,庫存!$A:$I,3,0),"")</f>
        <v/>
      </c>
      <c r="D383" s="54"/>
      <c r="E383" s="35" t="str">
        <f t="shared" si="10"/>
        <v/>
      </c>
      <c r="F383" s="45" t="str">
        <f>IFERROR(VLOOKUP(A383,庫存!$A:$I,4,0),"0")</f>
        <v>0</v>
      </c>
      <c r="G383" s="43" t="str">
        <f t="shared" si="11"/>
        <v/>
      </c>
      <c r="H383" s="24" t="str">
        <f>IFERROR(VLOOKUP(A383,庫存!$A:$I,8,0),"")</f>
        <v/>
      </c>
      <c r="I383" s="24" t="str">
        <f>IFERROR(VLOOKUP(A383,庫存!$A:$I,9,0),"")</f>
        <v/>
      </c>
    </row>
    <row r="384" spans="1:9" ht="23" customHeight="1" x14ac:dyDescent="0.35">
      <c r="A384" s="57"/>
      <c r="B384" s="34" t="str">
        <f>IFERROR(VLOOKUP(A384,庫存!$A:$I,2,0),"")</f>
        <v/>
      </c>
      <c r="C384" s="34" t="str">
        <f>IFERROR(VLOOKUP(A384,庫存!$A:$I,3,0),"")</f>
        <v/>
      </c>
      <c r="D384" s="54"/>
      <c r="E384" s="35" t="str">
        <f t="shared" si="10"/>
        <v/>
      </c>
      <c r="F384" s="45" t="str">
        <f>IFERROR(VLOOKUP(A384,庫存!$A:$I,4,0),"0")</f>
        <v>0</v>
      </c>
      <c r="G384" s="43" t="str">
        <f t="shared" si="11"/>
        <v/>
      </c>
      <c r="H384" s="24" t="str">
        <f>IFERROR(VLOOKUP(A384,庫存!$A:$I,8,0),"")</f>
        <v/>
      </c>
      <c r="I384" s="24" t="str">
        <f>IFERROR(VLOOKUP(A384,庫存!$A:$I,9,0),"")</f>
        <v/>
      </c>
    </row>
    <row r="385" spans="1:9" ht="23" customHeight="1" x14ac:dyDescent="0.35">
      <c r="A385" s="57"/>
      <c r="B385" s="34" t="str">
        <f>IFERROR(VLOOKUP(A385,庫存!$A:$I,2,0),"")</f>
        <v/>
      </c>
      <c r="C385" s="34" t="str">
        <f>IFERROR(VLOOKUP(A385,庫存!$A:$I,3,0),"")</f>
        <v/>
      </c>
      <c r="D385" s="54"/>
      <c r="E385" s="35" t="str">
        <f t="shared" si="10"/>
        <v/>
      </c>
      <c r="F385" s="45" t="str">
        <f>IFERROR(VLOOKUP(A385,庫存!$A:$I,4,0),"0")</f>
        <v>0</v>
      </c>
      <c r="G385" s="43" t="str">
        <f t="shared" si="11"/>
        <v/>
      </c>
      <c r="H385" s="24" t="str">
        <f>IFERROR(VLOOKUP(A385,庫存!$A:$I,8,0),"")</f>
        <v/>
      </c>
      <c r="I385" s="24" t="str">
        <f>IFERROR(VLOOKUP(A385,庫存!$A:$I,9,0),"")</f>
        <v/>
      </c>
    </row>
    <row r="386" spans="1:9" ht="23" customHeight="1" x14ac:dyDescent="0.35">
      <c r="A386" s="57"/>
      <c r="B386" s="34" t="str">
        <f>IFERROR(VLOOKUP(A386,庫存!$A:$I,2,0),"")</f>
        <v/>
      </c>
      <c r="C386" s="34" t="str">
        <f>IFERROR(VLOOKUP(A386,庫存!$A:$I,3,0),"")</f>
        <v/>
      </c>
      <c r="D386" s="54"/>
      <c r="E386" s="35" t="str">
        <f t="shared" ref="E386:E449" si="12">IF(D386*$E$1=0,"",D386*$E$1)</f>
        <v/>
      </c>
      <c r="F386" s="45" t="str">
        <f>IFERROR(VLOOKUP(A386,庫存!$A:$I,4,0),"0")</f>
        <v>0</v>
      </c>
      <c r="G386" s="43" t="str">
        <f t="shared" ref="G386:G449" si="13">IFERROR(F386-E386,"")</f>
        <v/>
      </c>
      <c r="H386" s="24" t="str">
        <f>IFERROR(VLOOKUP(A386,庫存!$A:$I,8,0),"")</f>
        <v/>
      </c>
      <c r="I386" s="24" t="str">
        <f>IFERROR(VLOOKUP(A386,庫存!$A:$I,9,0),"")</f>
        <v/>
      </c>
    </row>
    <row r="387" spans="1:9" ht="23" customHeight="1" x14ac:dyDescent="0.35">
      <c r="A387" s="57"/>
      <c r="B387" s="34" t="str">
        <f>IFERROR(VLOOKUP(A387,庫存!$A:$I,2,0),"")</f>
        <v/>
      </c>
      <c r="C387" s="34" t="str">
        <f>IFERROR(VLOOKUP(A387,庫存!$A:$I,3,0),"")</f>
        <v/>
      </c>
      <c r="D387" s="54"/>
      <c r="E387" s="35" t="str">
        <f t="shared" si="12"/>
        <v/>
      </c>
      <c r="F387" s="45" t="str">
        <f>IFERROR(VLOOKUP(A387,庫存!$A:$I,4,0),"0")</f>
        <v>0</v>
      </c>
      <c r="G387" s="43" t="str">
        <f t="shared" si="13"/>
        <v/>
      </c>
      <c r="H387" s="24" t="str">
        <f>IFERROR(VLOOKUP(A387,庫存!$A:$I,8,0),"")</f>
        <v/>
      </c>
      <c r="I387" s="24" t="str">
        <f>IFERROR(VLOOKUP(A387,庫存!$A:$I,9,0),"")</f>
        <v/>
      </c>
    </row>
    <row r="388" spans="1:9" ht="23" customHeight="1" x14ac:dyDescent="0.35">
      <c r="A388" s="57"/>
      <c r="B388" s="34" t="str">
        <f>IFERROR(VLOOKUP(A388,庫存!$A:$I,2,0),"")</f>
        <v/>
      </c>
      <c r="C388" s="34" t="str">
        <f>IFERROR(VLOOKUP(A388,庫存!$A:$I,3,0),"")</f>
        <v/>
      </c>
      <c r="D388" s="54"/>
      <c r="E388" s="35" t="str">
        <f t="shared" si="12"/>
        <v/>
      </c>
      <c r="F388" s="45" t="str">
        <f>IFERROR(VLOOKUP(A388,庫存!$A:$I,4,0),"0")</f>
        <v>0</v>
      </c>
      <c r="G388" s="43" t="str">
        <f t="shared" si="13"/>
        <v/>
      </c>
      <c r="H388" s="24" t="str">
        <f>IFERROR(VLOOKUP(A388,庫存!$A:$I,8,0),"")</f>
        <v/>
      </c>
      <c r="I388" s="24" t="str">
        <f>IFERROR(VLOOKUP(A388,庫存!$A:$I,9,0),"")</f>
        <v/>
      </c>
    </row>
    <row r="389" spans="1:9" ht="23" customHeight="1" x14ac:dyDescent="0.35">
      <c r="A389" s="57"/>
      <c r="B389" s="34" t="str">
        <f>IFERROR(VLOOKUP(A389,庫存!$A:$I,2,0),"")</f>
        <v/>
      </c>
      <c r="C389" s="34" t="str">
        <f>IFERROR(VLOOKUP(A389,庫存!$A:$I,3,0),"")</f>
        <v/>
      </c>
      <c r="D389" s="54"/>
      <c r="E389" s="35" t="str">
        <f t="shared" si="12"/>
        <v/>
      </c>
      <c r="F389" s="45" t="str">
        <f>IFERROR(VLOOKUP(A389,庫存!$A:$I,4,0),"0")</f>
        <v>0</v>
      </c>
      <c r="G389" s="43" t="str">
        <f t="shared" si="13"/>
        <v/>
      </c>
      <c r="H389" s="24" t="str">
        <f>IFERROR(VLOOKUP(A389,庫存!$A:$I,8,0),"")</f>
        <v/>
      </c>
      <c r="I389" s="24" t="str">
        <f>IFERROR(VLOOKUP(A389,庫存!$A:$I,9,0),"")</f>
        <v/>
      </c>
    </row>
    <row r="390" spans="1:9" ht="23" customHeight="1" x14ac:dyDescent="0.35">
      <c r="A390" s="57"/>
      <c r="B390" s="34" t="str">
        <f>IFERROR(VLOOKUP(A390,庫存!$A:$I,2,0),"")</f>
        <v/>
      </c>
      <c r="C390" s="34" t="str">
        <f>IFERROR(VLOOKUP(A390,庫存!$A:$I,3,0),"")</f>
        <v/>
      </c>
      <c r="D390" s="54"/>
      <c r="E390" s="35" t="str">
        <f t="shared" si="12"/>
        <v/>
      </c>
      <c r="F390" s="45" t="str">
        <f>IFERROR(VLOOKUP(A390,庫存!$A:$I,4,0),"0")</f>
        <v>0</v>
      </c>
      <c r="G390" s="43" t="str">
        <f t="shared" si="13"/>
        <v/>
      </c>
      <c r="H390" s="24" t="str">
        <f>IFERROR(VLOOKUP(A390,庫存!$A:$I,8,0),"")</f>
        <v/>
      </c>
      <c r="I390" s="24" t="str">
        <f>IFERROR(VLOOKUP(A390,庫存!$A:$I,9,0),"")</f>
        <v/>
      </c>
    </row>
    <row r="391" spans="1:9" ht="23" customHeight="1" x14ac:dyDescent="0.35">
      <c r="A391" s="57"/>
      <c r="B391" s="34" t="str">
        <f>IFERROR(VLOOKUP(A391,庫存!$A:$I,2,0),"")</f>
        <v/>
      </c>
      <c r="C391" s="34" t="str">
        <f>IFERROR(VLOOKUP(A391,庫存!$A:$I,3,0),"")</f>
        <v/>
      </c>
      <c r="D391" s="54"/>
      <c r="E391" s="35" t="str">
        <f t="shared" si="12"/>
        <v/>
      </c>
      <c r="F391" s="45" t="str">
        <f>IFERROR(VLOOKUP(A391,庫存!$A:$I,4,0),"0")</f>
        <v>0</v>
      </c>
      <c r="G391" s="43" t="str">
        <f t="shared" si="13"/>
        <v/>
      </c>
      <c r="H391" s="24" t="str">
        <f>IFERROR(VLOOKUP(A391,庫存!$A:$I,8,0),"")</f>
        <v/>
      </c>
      <c r="I391" s="24" t="str">
        <f>IFERROR(VLOOKUP(A391,庫存!$A:$I,9,0),"")</f>
        <v/>
      </c>
    </row>
    <row r="392" spans="1:9" ht="23" customHeight="1" x14ac:dyDescent="0.35">
      <c r="A392" s="57"/>
      <c r="B392" s="34" t="str">
        <f>IFERROR(VLOOKUP(A392,庫存!$A:$I,2,0),"")</f>
        <v/>
      </c>
      <c r="C392" s="34" t="str">
        <f>IFERROR(VLOOKUP(A392,庫存!$A:$I,3,0),"")</f>
        <v/>
      </c>
      <c r="D392" s="54"/>
      <c r="E392" s="35" t="str">
        <f t="shared" si="12"/>
        <v/>
      </c>
      <c r="F392" s="45" t="str">
        <f>IFERROR(VLOOKUP(A392,庫存!$A:$I,4,0),"0")</f>
        <v>0</v>
      </c>
      <c r="G392" s="43" t="str">
        <f t="shared" si="13"/>
        <v/>
      </c>
      <c r="H392" s="24" t="str">
        <f>IFERROR(VLOOKUP(A392,庫存!$A:$I,8,0),"")</f>
        <v/>
      </c>
      <c r="I392" s="24" t="str">
        <f>IFERROR(VLOOKUP(A392,庫存!$A:$I,9,0),"")</f>
        <v/>
      </c>
    </row>
    <row r="393" spans="1:9" ht="23" customHeight="1" x14ac:dyDescent="0.35">
      <c r="A393" s="57"/>
      <c r="B393" s="34" t="str">
        <f>IFERROR(VLOOKUP(A393,庫存!$A:$I,2,0),"")</f>
        <v/>
      </c>
      <c r="C393" s="34" t="str">
        <f>IFERROR(VLOOKUP(A393,庫存!$A:$I,3,0),"")</f>
        <v/>
      </c>
      <c r="D393" s="54"/>
      <c r="E393" s="35" t="str">
        <f t="shared" si="12"/>
        <v/>
      </c>
      <c r="F393" s="45" t="str">
        <f>IFERROR(VLOOKUP(A393,庫存!$A:$I,4,0),"0")</f>
        <v>0</v>
      </c>
      <c r="G393" s="43" t="str">
        <f t="shared" si="13"/>
        <v/>
      </c>
      <c r="H393" s="24" t="str">
        <f>IFERROR(VLOOKUP(A393,庫存!$A:$I,8,0),"")</f>
        <v/>
      </c>
      <c r="I393" s="24" t="str">
        <f>IFERROR(VLOOKUP(A393,庫存!$A:$I,9,0),"")</f>
        <v/>
      </c>
    </row>
    <row r="394" spans="1:9" ht="23" customHeight="1" x14ac:dyDescent="0.35">
      <c r="A394" s="57"/>
      <c r="B394" s="34" t="str">
        <f>IFERROR(VLOOKUP(A394,庫存!$A:$I,2,0),"")</f>
        <v/>
      </c>
      <c r="C394" s="34" t="str">
        <f>IFERROR(VLOOKUP(A394,庫存!$A:$I,3,0),"")</f>
        <v/>
      </c>
      <c r="D394" s="54"/>
      <c r="E394" s="35" t="str">
        <f t="shared" si="12"/>
        <v/>
      </c>
      <c r="F394" s="45" t="str">
        <f>IFERROR(VLOOKUP(A394,庫存!$A:$I,4,0),"0")</f>
        <v>0</v>
      </c>
      <c r="G394" s="43" t="str">
        <f t="shared" si="13"/>
        <v/>
      </c>
      <c r="H394" s="24" t="str">
        <f>IFERROR(VLOOKUP(A394,庫存!$A:$I,8,0),"")</f>
        <v/>
      </c>
      <c r="I394" s="24" t="str">
        <f>IFERROR(VLOOKUP(A394,庫存!$A:$I,9,0),"")</f>
        <v/>
      </c>
    </row>
    <row r="395" spans="1:9" ht="23" customHeight="1" x14ac:dyDescent="0.35">
      <c r="A395" s="57"/>
      <c r="B395" s="34" t="str">
        <f>IFERROR(VLOOKUP(A395,庫存!$A:$I,2,0),"")</f>
        <v/>
      </c>
      <c r="C395" s="34" t="str">
        <f>IFERROR(VLOOKUP(A395,庫存!$A:$I,3,0),"")</f>
        <v/>
      </c>
      <c r="D395" s="54"/>
      <c r="E395" s="35" t="str">
        <f t="shared" si="12"/>
        <v/>
      </c>
      <c r="F395" s="45" t="str">
        <f>IFERROR(VLOOKUP(A395,庫存!$A:$I,4,0),"0")</f>
        <v>0</v>
      </c>
      <c r="G395" s="43" t="str">
        <f t="shared" si="13"/>
        <v/>
      </c>
      <c r="H395" s="24" t="str">
        <f>IFERROR(VLOOKUP(A395,庫存!$A:$I,8,0),"")</f>
        <v/>
      </c>
      <c r="I395" s="24" t="str">
        <f>IFERROR(VLOOKUP(A395,庫存!$A:$I,9,0),"")</f>
        <v/>
      </c>
    </row>
    <row r="396" spans="1:9" ht="23" customHeight="1" x14ac:dyDescent="0.35">
      <c r="A396" s="57"/>
      <c r="B396" s="34" t="str">
        <f>IFERROR(VLOOKUP(A396,庫存!$A:$I,2,0),"")</f>
        <v/>
      </c>
      <c r="C396" s="34" t="str">
        <f>IFERROR(VLOOKUP(A396,庫存!$A:$I,3,0),"")</f>
        <v/>
      </c>
      <c r="D396" s="54"/>
      <c r="E396" s="35" t="str">
        <f t="shared" si="12"/>
        <v/>
      </c>
      <c r="F396" s="45" t="str">
        <f>IFERROR(VLOOKUP(A396,庫存!$A:$I,4,0),"0")</f>
        <v>0</v>
      </c>
      <c r="G396" s="43" t="str">
        <f t="shared" si="13"/>
        <v/>
      </c>
      <c r="H396" s="24" t="str">
        <f>IFERROR(VLOOKUP(A396,庫存!$A:$I,8,0),"")</f>
        <v/>
      </c>
      <c r="I396" s="24" t="str">
        <f>IFERROR(VLOOKUP(A396,庫存!$A:$I,9,0),"")</f>
        <v/>
      </c>
    </row>
    <row r="397" spans="1:9" ht="23" customHeight="1" x14ac:dyDescent="0.35">
      <c r="A397" s="57"/>
      <c r="B397" s="34" t="str">
        <f>IFERROR(VLOOKUP(A397,庫存!$A:$I,2,0),"")</f>
        <v/>
      </c>
      <c r="C397" s="34" t="str">
        <f>IFERROR(VLOOKUP(A397,庫存!$A:$I,3,0),"")</f>
        <v/>
      </c>
      <c r="D397" s="54"/>
      <c r="E397" s="35" t="str">
        <f t="shared" si="12"/>
        <v/>
      </c>
      <c r="F397" s="45" t="str">
        <f>IFERROR(VLOOKUP(A397,庫存!$A:$I,4,0),"0")</f>
        <v>0</v>
      </c>
      <c r="G397" s="43" t="str">
        <f t="shared" si="13"/>
        <v/>
      </c>
      <c r="H397" s="24" t="str">
        <f>IFERROR(VLOOKUP(A397,庫存!$A:$I,8,0),"")</f>
        <v/>
      </c>
      <c r="I397" s="24" t="str">
        <f>IFERROR(VLOOKUP(A397,庫存!$A:$I,9,0),"")</f>
        <v/>
      </c>
    </row>
    <row r="398" spans="1:9" ht="23" customHeight="1" x14ac:dyDescent="0.35">
      <c r="A398" s="57"/>
      <c r="B398" s="34" t="str">
        <f>IFERROR(VLOOKUP(A398,庫存!$A:$I,2,0),"")</f>
        <v/>
      </c>
      <c r="C398" s="34" t="str">
        <f>IFERROR(VLOOKUP(A398,庫存!$A:$I,3,0),"")</f>
        <v/>
      </c>
      <c r="D398" s="54"/>
      <c r="E398" s="35" t="str">
        <f t="shared" si="12"/>
        <v/>
      </c>
      <c r="F398" s="45" t="str">
        <f>IFERROR(VLOOKUP(A398,庫存!$A:$I,4,0),"0")</f>
        <v>0</v>
      </c>
      <c r="G398" s="43" t="str">
        <f t="shared" si="13"/>
        <v/>
      </c>
      <c r="H398" s="24" t="str">
        <f>IFERROR(VLOOKUP(A398,庫存!$A:$I,8,0),"")</f>
        <v/>
      </c>
      <c r="I398" s="24" t="str">
        <f>IFERROR(VLOOKUP(A398,庫存!$A:$I,9,0),"")</f>
        <v/>
      </c>
    </row>
    <row r="399" spans="1:9" ht="23" customHeight="1" x14ac:dyDescent="0.35">
      <c r="A399" s="57"/>
      <c r="B399" s="34" t="str">
        <f>IFERROR(VLOOKUP(A399,庫存!$A:$I,2,0),"")</f>
        <v/>
      </c>
      <c r="C399" s="34" t="str">
        <f>IFERROR(VLOOKUP(A399,庫存!$A:$I,3,0),"")</f>
        <v/>
      </c>
      <c r="D399" s="54"/>
      <c r="E399" s="35" t="str">
        <f t="shared" si="12"/>
        <v/>
      </c>
      <c r="F399" s="45" t="str">
        <f>IFERROR(VLOOKUP(A399,庫存!$A:$I,4,0),"0")</f>
        <v>0</v>
      </c>
      <c r="G399" s="43" t="str">
        <f t="shared" si="13"/>
        <v/>
      </c>
      <c r="H399" s="24" t="str">
        <f>IFERROR(VLOOKUP(A399,庫存!$A:$I,8,0),"")</f>
        <v/>
      </c>
      <c r="I399" s="24" t="str">
        <f>IFERROR(VLOOKUP(A399,庫存!$A:$I,9,0),"")</f>
        <v/>
      </c>
    </row>
    <row r="400" spans="1:9" ht="23" customHeight="1" x14ac:dyDescent="0.35">
      <c r="A400" s="57"/>
      <c r="B400" s="34" t="str">
        <f>IFERROR(VLOOKUP(A400,庫存!$A:$I,2,0),"")</f>
        <v/>
      </c>
      <c r="C400" s="34" t="str">
        <f>IFERROR(VLOOKUP(A400,庫存!$A:$I,3,0),"")</f>
        <v/>
      </c>
      <c r="D400" s="54"/>
      <c r="E400" s="35" t="str">
        <f t="shared" si="12"/>
        <v/>
      </c>
      <c r="F400" s="45" t="str">
        <f>IFERROR(VLOOKUP(A400,庫存!$A:$I,4,0),"0")</f>
        <v>0</v>
      </c>
      <c r="G400" s="43" t="str">
        <f t="shared" si="13"/>
        <v/>
      </c>
      <c r="H400" s="24" t="str">
        <f>IFERROR(VLOOKUP(A400,庫存!$A:$I,8,0),"")</f>
        <v/>
      </c>
      <c r="I400" s="24" t="str">
        <f>IFERROR(VLOOKUP(A400,庫存!$A:$I,9,0),"")</f>
        <v/>
      </c>
    </row>
    <row r="401" spans="1:9" ht="23" customHeight="1" x14ac:dyDescent="0.35">
      <c r="A401" s="57"/>
      <c r="B401" s="34" t="str">
        <f>IFERROR(VLOOKUP(A401,庫存!$A:$I,2,0),"")</f>
        <v/>
      </c>
      <c r="C401" s="34" t="str">
        <f>IFERROR(VLOOKUP(A401,庫存!$A:$I,3,0),"")</f>
        <v/>
      </c>
      <c r="D401" s="54"/>
      <c r="E401" s="35" t="str">
        <f t="shared" si="12"/>
        <v/>
      </c>
      <c r="F401" s="45" t="str">
        <f>IFERROR(VLOOKUP(A401,庫存!$A:$I,4,0),"0")</f>
        <v>0</v>
      </c>
      <c r="G401" s="43" t="str">
        <f t="shared" si="13"/>
        <v/>
      </c>
      <c r="H401" s="24" t="str">
        <f>IFERROR(VLOOKUP(A401,庫存!$A:$I,8,0),"")</f>
        <v/>
      </c>
      <c r="I401" s="24" t="str">
        <f>IFERROR(VLOOKUP(A401,庫存!$A:$I,9,0),"")</f>
        <v/>
      </c>
    </row>
    <row r="402" spans="1:9" ht="23" customHeight="1" x14ac:dyDescent="0.35">
      <c r="A402" s="57"/>
      <c r="B402" s="34" t="str">
        <f>IFERROR(VLOOKUP(A402,庫存!$A:$I,2,0),"")</f>
        <v/>
      </c>
      <c r="C402" s="34" t="str">
        <f>IFERROR(VLOOKUP(A402,庫存!$A:$I,3,0),"")</f>
        <v/>
      </c>
      <c r="D402" s="54"/>
      <c r="E402" s="35" t="str">
        <f t="shared" si="12"/>
        <v/>
      </c>
      <c r="F402" s="45" t="str">
        <f>IFERROR(VLOOKUP(A402,庫存!$A:$I,4,0),"0")</f>
        <v>0</v>
      </c>
      <c r="G402" s="43" t="str">
        <f t="shared" si="13"/>
        <v/>
      </c>
      <c r="H402" s="24" t="str">
        <f>IFERROR(VLOOKUP(A402,庫存!$A:$I,8,0),"")</f>
        <v/>
      </c>
      <c r="I402" s="24" t="str">
        <f>IFERROR(VLOOKUP(A402,庫存!$A:$I,9,0),"")</f>
        <v/>
      </c>
    </row>
    <row r="403" spans="1:9" ht="23" customHeight="1" x14ac:dyDescent="0.35">
      <c r="A403" s="57"/>
      <c r="B403" s="34" t="str">
        <f>IFERROR(VLOOKUP(A403,庫存!$A:$I,2,0),"")</f>
        <v/>
      </c>
      <c r="C403" s="34" t="str">
        <f>IFERROR(VLOOKUP(A403,庫存!$A:$I,3,0),"")</f>
        <v/>
      </c>
      <c r="D403" s="54"/>
      <c r="E403" s="35" t="str">
        <f t="shared" si="12"/>
        <v/>
      </c>
      <c r="F403" s="45" t="str">
        <f>IFERROR(VLOOKUP(A403,庫存!$A:$I,4,0),"0")</f>
        <v>0</v>
      </c>
      <c r="G403" s="43" t="str">
        <f t="shared" si="13"/>
        <v/>
      </c>
      <c r="H403" s="24" t="str">
        <f>IFERROR(VLOOKUP(A403,庫存!$A:$I,8,0),"")</f>
        <v/>
      </c>
      <c r="I403" s="24" t="str">
        <f>IFERROR(VLOOKUP(A403,庫存!$A:$I,9,0),"")</f>
        <v/>
      </c>
    </row>
    <row r="404" spans="1:9" ht="23" customHeight="1" x14ac:dyDescent="0.35">
      <c r="A404" s="57"/>
      <c r="B404" s="34" t="str">
        <f>IFERROR(VLOOKUP(A404,庫存!$A:$I,2,0),"")</f>
        <v/>
      </c>
      <c r="C404" s="34" t="str">
        <f>IFERROR(VLOOKUP(A404,庫存!$A:$I,3,0),"")</f>
        <v/>
      </c>
      <c r="D404" s="54"/>
      <c r="E404" s="35" t="str">
        <f t="shared" si="12"/>
        <v/>
      </c>
      <c r="F404" s="45" t="str">
        <f>IFERROR(VLOOKUP(A404,庫存!$A:$I,4,0),"0")</f>
        <v>0</v>
      </c>
      <c r="G404" s="43" t="str">
        <f t="shared" si="13"/>
        <v/>
      </c>
      <c r="H404" s="24" t="str">
        <f>IFERROR(VLOOKUP(A404,庫存!$A:$I,8,0),"")</f>
        <v/>
      </c>
      <c r="I404" s="24" t="str">
        <f>IFERROR(VLOOKUP(A404,庫存!$A:$I,9,0),"")</f>
        <v/>
      </c>
    </row>
    <row r="405" spans="1:9" ht="23" customHeight="1" x14ac:dyDescent="0.35">
      <c r="A405" s="57"/>
      <c r="B405" s="34" t="str">
        <f>IFERROR(VLOOKUP(A405,庫存!$A:$I,2,0),"")</f>
        <v/>
      </c>
      <c r="C405" s="34" t="str">
        <f>IFERROR(VLOOKUP(A405,庫存!$A:$I,3,0),"")</f>
        <v/>
      </c>
      <c r="D405" s="54"/>
      <c r="E405" s="35" t="str">
        <f t="shared" si="12"/>
        <v/>
      </c>
      <c r="F405" s="45" t="str">
        <f>IFERROR(VLOOKUP(A405,庫存!$A:$I,4,0),"0")</f>
        <v>0</v>
      </c>
      <c r="G405" s="43" t="str">
        <f t="shared" si="13"/>
        <v/>
      </c>
      <c r="H405" s="24" t="str">
        <f>IFERROR(VLOOKUP(A405,庫存!$A:$I,8,0),"")</f>
        <v/>
      </c>
      <c r="I405" s="24" t="str">
        <f>IFERROR(VLOOKUP(A405,庫存!$A:$I,9,0),"")</f>
        <v/>
      </c>
    </row>
    <row r="406" spans="1:9" ht="23" customHeight="1" x14ac:dyDescent="0.35">
      <c r="A406" s="57"/>
      <c r="B406" s="34" t="str">
        <f>IFERROR(VLOOKUP(A406,庫存!$A:$I,2,0),"")</f>
        <v/>
      </c>
      <c r="C406" s="34" t="str">
        <f>IFERROR(VLOOKUP(A406,庫存!$A:$I,3,0),"")</f>
        <v/>
      </c>
      <c r="D406" s="54"/>
      <c r="E406" s="35" t="str">
        <f t="shared" si="12"/>
        <v/>
      </c>
      <c r="F406" s="45" t="str">
        <f>IFERROR(VLOOKUP(A406,庫存!$A:$I,4,0),"0")</f>
        <v>0</v>
      </c>
      <c r="G406" s="43" t="str">
        <f t="shared" si="13"/>
        <v/>
      </c>
      <c r="H406" s="24" t="str">
        <f>IFERROR(VLOOKUP(A406,庫存!$A:$I,8,0),"")</f>
        <v/>
      </c>
      <c r="I406" s="24" t="str">
        <f>IFERROR(VLOOKUP(A406,庫存!$A:$I,9,0),"")</f>
        <v/>
      </c>
    </row>
    <row r="407" spans="1:9" ht="23" customHeight="1" x14ac:dyDescent="0.35">
      <c r="A407" s="57"/>
      <c r="B407" s="34" t="str">
        <f>IFERROR(VLOOKUP(A407,庫存!$A:$I,2,0),"")</f>
        <v/>
      </c>
      <c r="C407" s="34" t="str">
        <f>IFERROR(VLOOKUP(A407,庫存!$A:$I,3,0),"")</f>
        <v/>
      </c>
      <c r="D407" s="54"/>
      <c r="E407" s="35" t="str">
        <f t="shared" si="12"/>
        <v/>
      </c>
      <c r="F407" s="45" t="str">
        <f>IFERROR(VLOOKUP(A407,庫存!$A:$I,4,0),"0")</f>
        <v>0</v>
      </c>
      <c r="G407" s="43" t="str">
        <f t="shared" si="13"/>
        <v/>
      </c>
      <c r="H407" s="24" t="str">
        <f>IFERROR(VLOOKUP(A407,庫存!$A:$I,8,0),"")</f>
        <v/>
      </c>
      <c r="I407" s="24" t="str">
        <f>IFERROR(VLOOKUP(A407,庫存!$A:$I,9,0),"")</f>
        <v/>
      </c>
    </row>
    <row r="408" spans="1:9" ht="23" customHeight="1" x14ac:dyDescent="0.35">
      <c r="A408" s="57"/>
      <c r="B408" s="34" t="str">
        <f>IFERROR(VLOOKUP(A408,庫存!$A:$I,2,0),"")</f>
        <v/>
      </c>
      <c r="C408" s="34" t="str">
        <f>IFERROR(VLOOKUP(A408,庫存!$A:$I,3,0),"")</f>
        <v/>
      </c>
      <c r="D408" s="54"/>
      <c r="E408" s="35" t="str">
        <f t="shared" si="12"/>
        <v/>
      </c>
      <c r="F408" s="45" t="str">
        <f>IFERROR(VLOOKUP(A408,庫存!$A:$I,4,0),"0")</f>
        <v>0</v>
      </c>
      <c r="G408" s="43" t="str">
        <f t="shared" si="13"/>
        <v/>
      </c>
      <c r="H408" s="24" t="str">
        <f>IFERROR(VLOOKUP(A408,庫存!$A:$I,8,0),"")</f>
        <v/>
      </c>
      <c r="I408" s="24" t="str">
        <f>IFERROR(VLOOKUP(A408,庫存!$A:$I,9,0),"")</f>
        <v/>
      </c>
    </row>
    <row r="409" spans="1:9" ht="23" customHeight="1" x14ac:dyDescent="0.35">
      <c r="A409" s="57"/>
      <c r="B409" s="34" t="str">
        <f>IFERROR(VLOOKUP(A409,庫存!$A:$I,2,0),"")</f>
        <v/>
      </c>
      <c r="C409" s="34" t="str">
        <f>IFERROR(VLOOKUP(A409,庫存!$A:$I,3,0),"")</f>
        <v/>
      </c>
      <c r="D409" s="54"/>
      <c r="E409" s="35" t="str">
        <f t="shared" si="12"/>
        <v/>
      </c>
      <c r="F409" s="45" t="str">
        <f>IFERROR(VLOOKUP(A409,庫存!$A:$I,4,0),"0")</f>
        <v>0</v>
      </c>
      <c r="G409" s="43" t="str">
        <f t="shared" si="13"/>
        <v/>
      </c>
      <c r="H409" s="24" t="str">
        <f>IFERROR(VLOOKUP(A409,庫存!$A:$I,8,0),"")</f>
        <v/>
      </c>
      <c r="I409" s="24" t="str">
        <f>IFERROR(VLOOKUP(A409,庫存!$A:$I,9,0),"")</f>
        <v/>
      </c>
    </row>
    <row r="410" spans="1:9" ht="23" customHeight="1" x14ac:dyDescent="0.35">
      <c r="A410" s="57"/>
      <c r="B410" s="34" t="str">
        <f>IFERROR(VLOOKUP(A410,庫存!$A:$I,2,0),"")</f>
        <v/>
      </c>
      <c r="C410" s="34" t="str">
        <f>IFERROR(VLOOKUP(A410,庫存!$A:$I,3,0),"")</f>
        <v/>
      </c>
      <c r="D410" s="54"/>
      <c r="E410" s="35" t="str">
        <f t="shared" si="12"/>
        <v/>
      </c>
      <c r="F410" s="45" t="str">
        <f>IFERROR(VLOOKUP(A410,庫存!$A:$I,4,0),"0")</f>
        <v>0</v>
      </c>
      <c r="G410" s="43" t="str">
        <f t="shared" si="13"/>
        <v/>
      </c>
      <c r="H410" s="24" t="str">
        <f>IFERROR(VLOOKUP(A410,庫存!$A:$I,8,0),"")</f>
        <v/>
      </c>
      <c r="I410" s="24" t="str">
        <f>IFERROR(VLOOKUP(A410,庫存!$A:$I,9,0),"")</f>
        <v/>
      </c>
    </row>
    <row r="411" spans="1:9" ht="23" customHeight="1" x14ac:dyDescent="0.35">
      <c r="A411" s="57"/>
      <c r="B411" s="34" t="str">
        <f>IFERROR(VLOOKUP(A411,庫存!$A:$I,2,0),"")</f>
        <v/>
      </c>
      <c r="C411" s="34" t="str">
        <f>IFERROR(VLOOKUP(A411,庫存!$A:$I,3,0),"")</f>
        <v/>
      </c>
      <c r="D411" s="54"/>
      <c r="E411" s="35" t="str">
        <f t="shared" si="12"/>
        <v/>
      </c>
      <c r="F411" s="45" t="str">
        <f>IFERROR(VLOOKUP(A411,庫存!$A:$I,4,0),"0")</f>
        <v>0</v>
      </c>
      <c r="G411" s="43" t="str">
        <f t="shared" si="13"/>
        <v/>
      </c>
      <c r="H411" s="24" t="str">
        <f>IFERROR(VLOOKUP(A411,庫存!$A:$I,8,0),"")</f>
        <v/>
      </c>
      <c r="I411" s="24" t="str">
        <f>IFERROR(VLOOKUP(A411,庫存!$A:$I,9,0),"")</f>
        <v/>
      </c>
    </row>
    <row r="412" spans="1:9" ht="23" customHeight="1" x14ac:dyDescent="0.35">
      <c r="A412" s="57"/>
      <c r="B412" s="34" t="str">
        <f>IFERROR(VLOOKUP(A412,庫存!$A:$I,2,0),"")</f>
        <v/>
      </c>
      <c r="C412" s="34" t="str">
        <f>IFERROR(VLOOKUP(A412,庫存!$A:$I,3,0),"")</f>
        <v/>
      </c>
      <c r="D412" s="54"/>
      <c r="E412" s="35" t="str">
        <f t="shared" si="12"/>
        <v/>
      </c>
      <c r="F412" s="45" t="str">
        <f>IFERROR(VLOOKUP(A412,庫存!$A:$I,4,0),"0")</f>
        <v>0</v>
      </c>
      <c r="G412" s="43" t="str">
        <f t="shared" si="13"/>
        <v/>
      </c>
      <c r="H412" s="24" t="str">
        <f>IFERROR(VLOOKUP(A412,庫存!$A:$I,8,0),"")</f>
        <v/>
      </c>
      <c r="I412" s="24" t="str">
        <f>IFERROR(VLOOKUP(A412,庫存!$A:$I,9,0),"")</f>
        <v/>
      </c>
    </row>
    <row r="413" spans="1:9" ht="23" customHeight="1" x14ac:dyDescent="0.35">
      <c r="A413" s="57"/>
      <c r="B413" s="34" t="str">
        <f>IFERROR(VLOOKUP(A413,庫存!$A:$I,2,0),"")</f>
        <v/>
      </c>
      <c r="C413" s="34" t="str">
        <f>IFERROR(VLOOKUP(A413,庫存!$A:$I,3,0),"")</f>
        <v/>
      </c>
      <c r="D413" s="54"/>
      <c r="E413" s="35" t="str">
        <f t="shared" si="12"/>
        <v/>
      </c>
      <c r="F413" s="45" t="str">
        <f>IFERROR(VLOOKUP(A413,庫存!$A:$I,4,0),"0")</f>
        <v>0</v>
      </c>
      <c r="G413" s="43" t="str">
        <f t="shared" si="13"/>
        <v/>
      </c>
      <c r="H413" s="24" t="str">
        <f>IFERROR(VLOOKUP(A413,庫存!$A:$I,8,0),"")</f>
        <v/>
      </c>
      <c r="I413" s="24" t="str">
        <f>IFERROR(VLOOKUP(A413,庫存!$A:$I,9,0),"")</f>
        <v/>
      </c>
    </row>
    <row r="414" spans="1:9" ht="23" customHeight="1" x14ac:dyDescent="0.35">
      <c r="A414" s="57"/>
      <c r="B414" s="34" t="str">
        <f>IFERROR(VLOOKUP(A414,庫存!$A:$I,2,0),"")</f>
        <v/>
      </c>
      <c r="C414" s="34" t="str">
        <f>IFERROR(VLOOKUP(A414,庫存!$A:$I,3,0),"")</f>
        <v/>
      </c>
      <c r="D414" s="54"/>
      <c r="E414" s="35" t="str">
        <f t="shared" si="12"/>
        <v/>
      </c>
      <c r="F414" s="45" t="str">
        <f>IFERROR(VLOOKUP(A414,庫存!$A:$I,4,0),"0")</f>
        <v>0</v>
      </c>
      <c r="G414" s="43" t="str">
        <f t="shared" si="13"/>
        <v/>
      </c>
      <c r="H414" s="24" t="str">
        <f>IFERROR(VLOOKUP(A414,庫存!$A:$I,8,0),"")</f>
        <v/>
      </c>
      <c r="I414" s="24" t="str">
        <f>IFERROR(VLOOKUP(A414,庫存!$A:$I,9,0),"")</f>
        <v/>
      </c>
    </row>
    <row r="415" spans="1:9" ht="23" customHeight="1" x14ac:dyDescent="0.35">
      <c r="A415" s="57"/>
      <c r="B415" s="34" t="str">
        <f>IFERROR(VLOOKUP(A415,庫存!$A:$I,2,0),"")</f>
        <v/>
      </c>
      <c r="C415" s="34" t="str">
        <f>IFERROR(VLOOKUP(A415,庫存!$A:$I,3,0),"")</f>
        <v/>
      </c>
      <c r="D415" s="54"/>
      <c r="E415" s="35" t="str">
        <f t="shared" si="12"/>
        <v/>
      </c>
      <c r="F415" s="45" t="str">
        <f>IFERROR(VLOOKUP(A415,庫存!$A:$I,4,0),"0")</f>
        <v>0</v>
      </c>
      <c r="G415" s="43" t="str">
        <f t="shared" si="13"/>
        <v/>
      </c>
      <c r="H415" s="24" t="str">
        <f>IFERROR(VLOOKUP(A415,庫存!$A:$I,8,0),"")</f>
        <v/>
      </c>
      <c r="I415" s="24" t="str">
        <f>IFERROR(VLOOKUP(A415,庫存!$A:$I,9,0),"")</f>
        <v/>
      </c>
    </row>
    <row r="416" spans="1:9" ht="23" customHeight="1" x14ac:dyDescent="0.35">
      <c r="A416" s="57"/>
      <c r="B416" s="34" t="str">
        <f>IFERROR(VLOOKUP(A416,庫存!$A:$I,2,0),"")</f>
        <v/>
      </c>
      <c r="C416" s="34" t="str">
        <f>IFERROR(VLOOKUP(A416,庫存!$A:$I,3,0),"")</f>
        <v/>
      </c>
      <c r="D416" s="54"/>
      <c r="E416" s="35" t="str">
        <f t="shared" si="12"/>
        <v/>
      </c>
      <c r="F416" s="45" t="str">
        <f>IFERROR(VLOOKUP(A416,庫存!$A:$I,4,0),"0")</f>
        <v>0</v>
      </c>
      <c r="G416" s="43" t="str">
        <f t="shared" si="13"/>
        <v/>
      </c>
      <c r="H416" s="24" t="str">
        <f>IFERROR(VLOOKUP(A416,庫存!$A:$I,8,0),"")</f>
        <v/>
      </c>
      <c r="I416" s="24" t="str">
        <f>IFERROR(VLOOKUP(A416,庫存!$A:$I,9,0),"")</f>
        <v/>
      </c>
    </row>
    <row r="417" spans="1:9" ht="23" customHeight="1" x14ac:dyDescent="0.35">
      <c r="A417" s="57"/>
      <c r="B417" s="34" t="str">
        <f>IFERROR(VLOOKUP(A417,庫存!$A:$I,2,0),"")</f>
        <v/>
      </c>
      <c r="C417" s="34" t="str">
        <f>IFERROR(VLOOKUP(A417,庫存!$A:$I,3,0),"")</f>
        <v/>
      </c>
      <c r="D417" s="54"/>
      <c r="E417" s="35" t="str">
        <f t="shared" si="12"/>
        <v/>
      </c>
      <c r="F417" s="45" t="str">
        <f>IFERROR(VLOOKUP(A417,庫存!$A:$I,4,0),"0")</f>
        <v>0</v>
      </c>
      <c r="G417" s="43" t="str">
        <f t="shared" si="13"/>
        <v/>
      </c>
      <c r="H417" s="24" t="str">
        <f>IFERROR(VLOOKUP(A417,庫存!$A:$I,8,0),"")</f>
        <v/>
      </c>
      <c r="I417" s="24" t="str">
        <f>IFERROR(VLOOKUP(A417,庫存!$A:$I,9,0),"")</f>
        <v/>
      </c>
    </row>
    <row r="418" spans="1:9" ht="23" customHeight="1" x14ac:dyDescent="0.35">
      <c r="A418" s="57"/>
      <c r="B418" s="34" t="str">
        <f>IFERROR(VLOOKUP(A418,庫存!$A:$I,2,0),"")</f>
        <v/>
      </c>
      <c r="C418" s="34" t="str">
        <f>IFERROR(VLOOKUP(A418,庫存!$A:$I,3,0),"")</f>
        <v/>
      </c>
      <c r="D418" s="54"/>
      <c r="E418" s="35" t="str">
        <f t="shared" si="12"/>
        <v/>
      </c>
      <c r="F418" s="45" t="str">
        <f>IFERROR(VLOOKUP(A418,庫存!$A:$I,4,0),"0")</f>
        <v>0</v>
      </c>
      <c r="G418" s="43" t="str">
        <f t="shared" si="13"/>
        <v/>
      </c>
      <c r="H418" s="24" t="str">
        <f>IFERROR(VLOOKUP(A418,庫存!$A:$I,8,0),"")</f>
        <v/>
      </c>
      <c r="I418" s="24" t="str">
        <f>IFERROR(VLOOKUP(A418,庫存!$A:$I,9,0),"")</f>
        <v/>
      </c>
    </row>
    <row r="419" spans="1:9" ht="23" customHeight="1" x14ac:dyDescent="0.35">
      <c r="A419" s="57"/>
      <c r="B419" s="34" t="str">
        <f>IFERROR(VLOOKUP(A419,庫存!$A:$I,2,0),"")</f>
        <v/>
      </c>
      <c r="C419" s="34" t="str">
        <f>IFERROR(VLOOKUP(A419,庫存!$A:$I,3,0),"")</f>
        <v/>
      </c>
      <c r="D419" s="54"/>
      <c r="E419" s="35" t="str">
        <f t="shared" si="12"/>
        <v/>
      </c>
      <c r="F419" s="45" t="str">
        <f>IFERROR(VLOOKUP(A419,庫存!$A:$I,4,0),"0")</f>
        <v>0</v>
      </c>
      <c r="G419" s="43" t="str">
        <f t="shared" si="13"/>
        <v/>
      </c>
      <c r="H419" s="24" t="str">
        <f>IFERROR(VLOOKUP(A419,庫存!$A:$I,8,0),"")</f>
        <v/>
      </c>
      <c r="I419" s="24" t="str">
        <f>IFERROR(VLOOKUP(A419,庫存!$A:$I,9,0),"")</f>
        <v/>
      </c>
    </row>
    <row r="420" spans="1:9" ht="23" customHeight="1" x14ac:dyDescent="0.35">
      <c r="A420" s="57"/>
      <c r="B420" s="34" t="str">
        <f>IFERROR(VLOOKUP(A420,庫存!$A:$I,2,0),"")</f>
        <v/>
      </c>
      <c r="C420" s="34" t="str">
        <f>IFERROR(VLOOKUP(A420,庫存!$A:$I,3,0),"")</f>
        <v/>
      </c>
      <c r="D420" s="54"/>
      <c r="E420" s="35" t="str">
        <f t="shared" si="12"/>
        <v/>
      </c>
      <c r="F420" s="45" t="str">
        <f>IFERROR(VLOOKUP(A420,庫存!$A:$I,4,0),"0")</f>
        <v>0</v>
      </c>
      <c r="G420" s="43" t="str">
        <f t="shared" si="13"/>
        <v/>
      </c>
      <c r="H420" s="24" t="str">
        <f>IFERROR(VLOOKUP(A420,庫存!$A:$I,8,0),"")</f>
        <v/>
      </c>
      <c r="I420" s="24" t="str">
        <f>IFERROR(VLOOKUP(A420,庫存!$A:$I,9,0),"")</f>
        <v/>
      </c>
    </row>
    <row r="421" spans="1:9" ht="23" customHeight="1" x14ac:dyDescent="0.35">
      <c r="A421" s="57"/>
      <c r="B421" s="34" t="str">
        <f>IFERROR(VLOOKUP(A421,庫存!$A:$I,2,0),"")</f>
        <v/>
      </c>
      <c r="C421" s="34" t="str">
        <f>IFERROR(VLOOKUP(A421,庫存!$A:$I,3,0),"")</f>
        <v/>
      </c>
      <c r="D421" s="54"/>
      <c r="E421" s="35" t="str">
        <f t="shared" si="12"/>
        <v/>
      </c>
      <c r="F421" s="45" t="str">
        <f>IFERROR(VLOOKUP(A421,庫存!$A:$I,4,0),"0")</f>
        <v>0</v>
      </c>
      <c r="G421" s="43" t="str">
        <f t="shared" si="13"/>
        <v/>
      </c>
      <c r="H421" s="24" t="str">
        <f>IFERROR(VLOOKUP(A421,庫存!$A:$I,8,0),"")</f>
        <v/>
      </c>
      <c r="I421" s="24" t="str">
        <f>IFERROR(VLOOKUP(A421,庫存!$A:$I,9,0),"")</f>
        <v/>
      </c>
    </row>
    <row r="422" spans="1:9" ht="23" customHeight="1" x14ac:dyDescent="0.35">
      <c r="A422" s="57"/>
      <c r="B422" s="34" t="str">
        <f>IFERROR(VLOOKUP(A422,庫存!$A:$I,2,0),"")</f>
        <v/>
      </c>
      <c r="C422" s="34" t="str">
        <f>IFERROR(VLOOKUP(A422,庫存!$A:$I,3,0),"")</f>
        <v/>
      </c>
      <c r="D422" s="54"/>
      <c r="E422" s="35" t="str">
        <f t="shared" si="12"/>
        <v/>
      </c>
      <c r="F422" s="45" t="str">
        <f>IFERROR(VLOOKUP(A422,庫存!$A:$I,4,0),"0")</f>
        <v>0</v>
      </c>
      <c r="G422" s="43" t="str">
        <f t="shared" si="13"/>
        <v/>
      </c>
      <c r="H422" s="24" t="str">
        <f>IFERROR(VLOOKUP(A422,庫存!$A:$I,8,0),"")</f>
        <v/>
      </c>
      <c r="I422" s="24" t="str">
        <f>IFERROR(VLOOKUP(A422,庫存!$A:$I,9,0),"")</f>
        <v/>
      </c>
    </row>
    <row r="423" spans="1:9" ht="23" customHeight="1" x14ac:dyDescent="0.35">
      <c r="A423" s="57"/>
      <c r="B423" s="34" t="str">
        <f>IFERROR(VLOOKUP(A423,庫存!$A:$I,2,0),"")</f>
        <v/>
      </c>
      <c r="C423" s="34" t="str">
        <f>IFERROR(VLOOKUP(A423,庫存!$A:$I,3,0),"")</f>
        <v/>
      </c>
      <c r="D423" s="54"/>
      <c r="E423" s="35" t="str">
        <f t="shared" si="12"/>
        <v/>
      </c>
      <c r="F423" s="45" t="str">
        <f>IFERROR(VLOOKUP(A423,庫存!$A:$I,4,0),"0")</f>
        <v>0</v>
      </c>
      <c r="G423" s="43" t="str">
        <f t="shared" si="13"/>
        <v/>
      </c>
      <c r="H423" s="24" t="str">
        <f>IFERROR(VLOOKUP(A423,庫存!$A:$I,8,0),"")</f>
        <v/>
      </c>
      <c r="I423" s="24" t="str">
        <f>IFERROR(VLOOKUP(A423,庫存!$A:$I,9,0),"")</f>
        <v/>
      </c>
    </row>
    <row r="424" spans="1:9" ht="23" customHeight="1" x14ac:dyDescent="0.35">
      <c r="A424" s="57"/>
      <c r="B424" s="34" t="str">
        <f>IFERROR(VLOOKUP(A424,庫存!$A:$I,2,0),"")</f>
        <v/>
      </c>
      <c r="C424" s="34" t="str">
        <f>IFERROR(VLOOKUP(A424,庫存!$A:$I,3,0),"")</f>
        <v/>
      </c>
      <c r="D424" s="54"/>
      <c r="E424" s="35" t="str">
        <f t="shared" si="12"/>
        <v/>
      </c>
      <c r="F424" s="45" t="str">
        <f>IFERROR(VLOOKUP(A424,庫存!$A:$I,4,0),"0")</f>
        <v>0</v>
      </c>
      <c r="G424" s="43" t="str">
        <f t="shared" si="13"/>
        <v/>
      </c>
      <c r="H424" s="24" t="str">
        <f>IFERROR(VLOOKUP(A424,庫存!$A:$I,8,0),"")</f>
        <v/>
      </c>
      <c r="I424" s="24" t="str">
        <f>IFERROR(VLOOKUP(A424,庫存!$A:$I,9,0),"")</f>
        <v/>
      </c>
    </row>
    <row r="425" spans="1:9" ht="23" customHeight="1" x14ac:dyDescent="0.35">
      <c r="A425" s="57"/>
      <c r="B425" s="34" t="str">
        <f>IFERROR(VLOOKUP(A425,庫存!$A:$I,2,0),"")</f>
        <v/>
      </c>
      <c r="C425" s="34" t="str">
        <f>IFERROR(VLOOKUP(A425,庫存!$A:$I,3,0),"")</f>
        <v/>
      </c>
      <c r="D425" s="54"/>
      <c r="E425" s="35" t="str">
        <f t="shared" si="12"/>
        <v/>
      </c>
      <c r="F425" s="45" t="str">
        <f>IFERROR(VLOOKUP(A425,庫存!$A:$I,4,0),"0")</f>
        <v>0</v>
      </c>
      <c r="G425" s="43" t="str">
        <f t="shared" si="13"/>
        <v/>
      </c>
      <c r="H425" s="24" t="str">
        <f>IFERROR(VLOOKUP(A425,庫存!$A:$I,8,0),"")</f>
        <v/>
      </c>
      <c r="I425" s="24" t="str">
        <f>IFERROR(VLOOKUP(A425,庫存!$A:$I,9,0),"")</f>
        <v/>
      </c>
    </row>
    <row r="426" spans="1:9" ht="23" customHeight="1" x14ac:dyDescent="0.35">
      <c r="A426" s="57"/>
      <c r="B426" s="34" t="str">
        <f>IFERROR(VLOOKUP(A426,庫存!$A:$I,2,0),"")</f>
        <v/>
      </c>
      <c r="C426" s="34" t="str">
        <f>IFERROR(VLOOKUP(A426,庫存!$A:$I,3,0),"")</f>
        <v/>
      </c>
      <c r="D426" s="54"/>
      <c r="E426" s="35" t="str">
        <f t="shared" si="12"/>
        <v/>
      </c>
      <c r="F426" s="45" t="str">
        <f>IFERROR(VLOOKUP(A426,庫存!$A:$I,4,0),"0")</f>
        <v>0</v>
      </c>
      <c r="G426" s="43" t="str">
        <f t="shared" si="13"/>
        <v/>
      </c>
      <c r="H426" s="24" t="str">
        <f>IFERROR(VLOOKUP(A426,庫存!$A:$I,8,0),"")</f>
        <v/>
      </c>
      <c r="I426" s="24" t="str">
        <f>IFERROR(VLOOKUP(A426,庫存!$A:$I,9,0),"")</f>
        <v/>
      </c>
    </row>
    <row r="427" spans="1:9" ht="23" customHeight="1" x14ac:dyDescent="0.35">
      <c r="A427" s="57"/>
      <c r="B427" s="34" t="str">
        <f>IFERROR(VLOOKUP(A427,庫存!$A:$I,2,0),"")</f>
        <v/>
      </c>
      <c r="C427" s="34" t="str">
        <f>IFERROR(VLOOKUP(A427,庫存!$A:$I,3,0),"")</f>
        <v/>
      </c>
      <c r="D427" s="54"/>
      <c r="E427" s="35" t="str">
        <f t="shared" si="12"/>
        <v/>
      </c>
      <c r="F427" s="45" t="str">
        <f>IFERROR(VLOOKUP(A427,庫存!$A:$I,4,0),"0")</f>
        <v>0</v>
      </c>
      <c r="G427" s="43" t="str">
        <f t="shared" si="13"/>
        <v/>
      </c>
      <c r="H427" s="24" t="str">
        <f>IFERROR(VLOOKUP(A427,庫存!$A:$I,8,0),"")</f>
        <v/>
      </c>
      <c r="I427" s="24" t="str">
        <f>IFERROR(VLOOKUP(A427,庫存!$A:$I,9,0),"")</f>
        <v/>
      </c>
    </row>
    <row r="428" spans="1:9" ht="23" customHeight="1" x14ac:dyDescent="0.35">
      <c r="A428" s="57"/>
      <c r="B428" s="34" t="str">
        <f>IFERROR(VLOOKUP(A428,庫存!$A:$I,2,0),"")</f>
        <v/>
      </c>
      <c r="C428" s="34" t="str">
        <f>IFERROR(VLOOKUP(A428,庫存!$A:$I,3,0),"")</f>
        <v/>
      </c>
      <c r="D428" s="54"/>
      <c r="E428" s="35" t="str">
        <f t="shared" si="12"/>
        <v/>
      </c>
      <c r="F428" s="45" t="str">
        <f>IFERROR(VLOOKUP(A428,庫存!$A:$I,4,0),"0")</f>
        <v>0</v>
      </c>
      <c r="G428" s="43" t="str">
        <f t="shared" si="13"/>
        <v/>
      </c>
      <c r="H428" s="24" t="str">
        <f>IFERROR(VLOOKUP(A428,庫存!$A:$I,8,0),"")</f>
        <v/>
      </c>
      <c r="I428" s="24" t="str">
        <f>IFERROR(VLOOKUP(A428,庫存!$A:$I,9,0),"")</f>
        <v/>
      </c>
    </row>
    <row r="429" spans="1:9" ht="23" customHeight="1" x14ac:dyDescent="0.35">
      <c r="A429" s="57"/>
      <c r="B429" s="34" t="str">
        <f>IFERROR(VLOOKUP(A429,庫存!$A:$I,2,0),"")</f>
        <v/>
      </c>
      <c r="C429" s="34" t="str">
        <f>IFERROR(VLOOKUP(A429,庫存!$A:$I,3,0),"")</f>
        <v/>
      </c>
      <c r="D429" s="54"/>
      <c r="E429" s="35" t="str">
        <f t="shared" si="12"/>
        <v/>
      </c>
      <c r="F429" s="45" t="str">
        <f>IFERROR(VLOOKUP(A429,庫存!$A:$I,4,0),"0")</f>
        <v>0</v>
      </c>
      <c r="G429" s="43" t="str">
        <f t="shared" si="13"/>
        <v/>
      </c>
      <c r="H429" s="24" t="str">
        <f>IFERROR(VLOOKUP(A429,庫存!$A:$I,8,0),"")</f>
        <v/>
      </c>
      <c r="I429" s="24" t="str">
        <f>IFERROR(VLOOKUP(A429,庫存!$A:$I,9,0),"")</f>
        <v/>
      </c>
    </row>
    <row r="430" spans="1:9" ht="23" customHeight="1" x14ac:dyDescent="0.35">
      <c r="A430" s="57"/>
      <c r="B430" s="34" t="str">
        <f>IFERROR(VLOOKUP(A430,庫存!$A:$I,2,0),"")</f>
        <v/>
      </c>
      <c r="C430" s="34" t="str">
        <f>IFERROR(VLOOKUP(A430,庫存!$A:$I,3,0),"")</f>
        <v/>
      </c>
      <c r="D430" s="54"/>
      <c r="E430" s="35" t="str">
        <f t="shared" si="12"/>
        <v/>
      </c>
      <c r="F430" s="45" t="str">
        <f>IFERROR(VLOOKUP(A430,庫存!$A:$I,4,0),"0")</f>
        <v>0</v>
      </c>
      <c r="G430" s="43" t="str">
        <f t="shared" si="13"/>
        <v/>
      </c>
      <c r="H430" s="24" t="str">
        <f>IFERROR(VLOOKUP(A430,庫存!$A:$I,8,0),"")</f>
        <v/>
      </c>
      <c r="I430" s="24" t="str">
        <f>IFERROR(VLOOKUP(A430,庫存!$A:$I,9,0),"")</f>
        <v/>
      </c>
    </row>
    <row r="431" spans="1:9" ht="23" customHeight="1" x14ac:dyDescent="0.35">
      <c r="A431" s="57"/>
      <c r="B431" s="34" t="str">
        <f>IFERROR(VLOOKUP(A431,庫存!$A:$I,2,0),"")</f>
        <v/>
      </c>
      <c r="C431" s="34" t="str">
        <f>IFERROR(VLOOKUP(A431,庫存!$A:$I,3,0),"")</f>
        <v/>
      </c>
      <c r="D431" s="54"/>
      <c r="E431" s="35" t="str">
        <f t="shared" si="12"/>
        <v/>
      </c>
      <c r="F431" s="45" t="str">
        <f>IFERROR(VLOOKUP(A431,庫存!$A:$I,4,0),"0")</f>
        <v>0</v>
      </c>
      <c r="G431" s="43" t="str">
        <f t="shared" si="13"/>
        <v/>
      </c>
      <c r="H431" s="24" t="str">
        <f>IFERROR(VLOOKUP(A431,庫存!$A:$I,8,0),"")</f>
        <v/>
      </c>
      <c r="I431" s="24" t="str">
        <f>IFERROR(VLOOKUP(A431,庫存!$A:$I,9,0),"")</f>
        <v/>
      </c>
    </row>
    <row r="432" spans="1:9" ht="23" customHeight="1" x14ac:dyDescent="0.35">
      <c r="A432" s="57"/>
      <c r="B432" s="34" t="str">
        <f>IFERROR(VLOOKUP(A432,庫存!$A:$I,2,0),"")</f>
        <v/>
      </c>
      <c r="C432" s="34" t="str">
        <f>IFERROR(VLOOKUP(A432,庫存!$A:$I,3,0),"")</f>
        <v/>
      </c>
      <c r="D432" s="54"/>
      <c r="E432" s="35" t="str">
        <f t="shared" si="12"/>
        <v/>
      </c>
      <c r="F432" s="45" t="str">
        <f>IFERROR(VLOOKUP(A432,庫存!$A:$I,4,0),"0")</f>
        <v>0</v>
      </c>
      <c r="G432" s="43" t="str">
        <f t="shared" si="13"/>
        <v/>
      </c>
      <c r="H432" s="24" t="str">
        <f>IFERROR(VLOOKUP(A432,庫存!$A:$I,8,0),"")</f>
        <v/>
      </c>
      <c r="I432" s="24" t="str">
        <f>IFERROR(VLOOKUP(A432,庫存!$A:$I,9,0),"")</f>
        <v/>
      </c>
    </row>
    <row r="433" spans="1:9" ht="23" customHeight="1" x14ac:dyDescent="0.35">
      <c r="A433" s="57"/>
      <c r="B433" s="34" t="str">
        <f>IFERROR(VLOOKUP(A433,庫存!$A:$I,2,0),"")</f>
        <v/>
      </c>
      <c r="C433" s="34" t="str">
        <f>IFERROR(VLOOKUP(A433,庫存!$A:$I,3,0),"")</f>
        <v/>
      </c>
      <c r="D433" s="54"/>
      <c r="E433" s="35" t="str">
        <f t="shared" si="12"/>
        <v/>
      </c>
      <c r="F433" s="45" t="str">
        <f>IFERROR(VLOOKUP(A433,庫存!$A:$I,4,0),"0")</f>
        <v>0</v>
      </c>
      <c r="G433" s="43" t="str">
        <f t="shared" si="13"/>
        <v/>
      </c>
      <c r="H433" s="24" t="str">
        <f>IFERROR(VLOOKUP(A433,庫存!$A:$I,8,0),"")</f>
        <v/>
      </c>
      <c r="I433" s="24" t="str">
        <f>IFERROR(VLOOKUP(A433,庫存!$A:$I,9,0),"")</f>
        <v/>
      </c>
    </row>
    <row r="434" spans="1:9" ht="23" customHeight="1" x14ac:dyDescent="0.35">
      <c r="A434" s="57"/>
      <c r="B434" s="34" t="str">
        <f>IFERROR(VLOOKUP(A434,庫存!$A:$I,2,0),"")</f>
        <v/>
      </c>
      <c r="C434" s="34" t="str">
        <f>IFERROR(VLOOKUP(A434,庫存!$A:$I,3,0),"")</f>
        <v/>
      </c>
      <c r="D434" s="54"/>
      <c r="E434" s="35" t="str">
        <f t="shared" si="12"/>
        <v/>
      </c>
      <c r="F434" s="45" t="str">
        <f>IFERROR(VLOOKUP(A434,庫存!$A:$I,4,0),"0")</f>
        <v>0</v>
      </c>
      <c r="G434" s="43" t="str">
        <f t="shared" si="13"/>
        <v/>
      </c>
      <c r="H434" s="24" t="str">
        <f>IFERROR(VLOOKUP(A434,庫存!$A:$I,8,0),"")</f>
        <v/>
      </c>
      <c r="I434" s="24" t="str">
        <f>IFERROR(VLOOKUP(A434,庫存!$A:$I,9,0),"")</f>
        <v/>
      </c>
    </row>
    <row r="435" spans="1:9" ht="23" customHeight="1" x14ac:dyDescent="0.35">
      <c r="A435" s="57"/>
      <c r="B435" s="34" t="str">
        <f>IFERROR(VLOOKUP(A435,庫存!$A:$I,2,0),"")</f>
        <v/>
      </c>
      <c r="C435" s="34" t="str">
        <f>IFERROR(VLOOKUP(A435,庫存!$A:$I,3,0),"")</f>
        <v/>
      </c>
      <c r="D435" s="54"/>
      <c r="E435" s="35" t="str">
        <f t="shared" si="12"/>
        <v/>
      </c>
      <c r="F435" s="45" t="str">
        <f>IFERROR(VLOOKUP(A435,庫存!$A:$I,4,0),"0")</f>
        <v>0</v>
      </c>
      <c r="G435" s="43" t="str">
        <f t="shared" si="13"/>
        <v/>
      </c>
      <c r="H435" s="24" t="str">
        <f>IFERROR(VLOOKUP(A435,庫存!$A:$I,8,0),"")</f>
        <v/>
      </c>
      <c r="I435" s="24" t="str">
        <f>IFERROR(VLOOKUP(A435,庫存!$A:$I,9,0),"")</f>
        <v/>
      </c>
    </row>
    <row r="436" spans="1:9" ht="23" customHeight="1" x14ac:dyDescent="0.35">
      <c r="A436" s="57"/>
      <c r="B436" s="34" t="str">
        <f>IFERROR(VLOOKUP(A436,庫存!$A:$I,2,0),"")</f>
        <v/>
      </c>
      <c r="C436" s="34" t="str">
        <f>IFERROR(VLOOKUP(A436,庫存!$A:$I,3,0),"")</f>
        <v/>
      </c>
      <c r="D436" s="54"/>
      <c r="E436" s="35" t="str">
        <f t="shared" si="12"/>
        <v/>
      </c>
      <c r="F436" s="45" t="str">
        <f>IFERROR(VLOOKUP(A436,庫存!$A:$I,4,0),"0")</f>
        <v>0</v>
      </c>
      <c r="G436" s="43" t="str">
        <f t="shared" si="13"/>
        <v/>
      </c>
      <c r="H436" s="24" t="str">
        <f>IFERROR(VLOOKUP(A436,庫存!$A:$I,8,0),"")</f>
        <v/>
      </c>
      <c r="I436" s="24" t="str">
        <f>IFERROR(VLOOKUP(A436,庫存!$A:$I,9,0),"")</f>
        <v/>
      </c>
    </row>
    <row r="437" spans="1:9" ht="23" customHeight="1" x14ac:dyDescent="0.35">
      <c r="A437" s="57"/>
      <c r="B437" s="34" t="str">
        <f>IFERROR(VLOOKUP(A437,庫存!$A:$I,2,0),"")</f>
        <v/>
      </c>
      <c r="C437" s="34" t="str">
        <f>IFERROR(VLOOKUP(A437,庫存!$A:$I,3,0),"")</f>
        <v/>
      </c>
      <c r="D437" s="54"/>
      <c r="E437" s="35" t="str">
        <f t="shared" si="12"/>
        <v/>
      </c>
      <c r="F437" s="45" t="str">
        <f>IFERROR(VLOOKUP(A437,庫存!$A:$I,4,0),"0")</f>
        <v>0</v>
      </c>
      <c r="G437" s="43" t="str">
        <f t="shared" si="13"/>
        <v/>
      </c>
      <c r="H437" s="24" t="str">
        <f>IFERROR(VLOOKUP(A437,庫存!$A:$I,8,0),"")</f>
        <v/>
      </c>
      <c r="I437" s="24" t="str">
        <f>IFERROR(VLOOKUP(A437,庫存!$A:$I,9,0),"")</f>
        <v/>
      </c>
    </row>
    <row r="438" spans="1:9" ht="23" customHeight="1" x14ac:dyDescent="0.35">
      <c r="A438" s="57"/>
      <c r="B438" s="34" t="str">
        <f>IFERROR(VLOOKUP(A438,庫存!$A:$I,2,0),"")</f>
        <v/>
      </c>
      <c r="C438" s="34" t="str">
        <f>IFERROR(VLOOKUP(A438,庫存!$A:$I,3,0),"")</f>
        <v/>
      </c>
      <c r="D438" s="54"/>
      <c r="E438" s="35" t="str">
        <f t="shared" si="12"/>
        <v/>
      </c>
      <c r="F438" s="45" t="str">
        <f>IFERROR(VLOOKUP(A438,庫存!$A:$I,4,0),"0")</f>
        <v>0</v>
      </c>
      <c r="G438" s="43" t="str">
        <f t="shared" si="13"/>
        <v/>
      </c>
      <c r="H438" s="24" t="str">
        <f>IFERROR(VLOOKUP(A438,庫存!$A:$I,8,0),"")</f>
        <v/>
      </c>
      <c r="I438" s="24" t="str">
        <f>IFERROR(VLOOKUP(A438,庫存!$A:$I,9,0),"")</f>
        <v/>
      </c>
    </row>
    <row r="439" spans="1:9" ht="23" customHeight="1" x14ac:dyDescent="0.35">
      <c r="A439" s="57"/>
      <c r="B439" s="34" t="str">
        <f>IFERROR(VLOOKUP(A439,庫存!$A:$I,2,0),"")</f>
        <v/>
      </c>
      <c r="C439" s="34" t="str">
        <f>IFERROR(VLOOKUP(A439,庫存!$A:$I,3,0),"")</f>
        <v/>
      </c>
      <c r="D439" s="54"/>
      <c r="E439" s="35" t="str">
        <f t="shared" si="12"/>
        <v/>
      </c>
      <c r="F439" s="45" t="str">
        <f>IFERROR(VLOOKUP(A439,庫存!$A:$I,4,0),"0")</f>
        <v>0</v>
      </c>
      <c r="G439" s="43" t="str">
        <f t="shared" si="13"/>
        <v/>
      </c>
      <c r="H439" s="24" t="str">
        <f>IFERROR(VLOOKUP(A439,庫存!$A:$I,8,0),"")</f>
        <v/>
      </c>
      <c r="I439" s="24" t="str">
        <f>IFERROR(VLOOKUP(A439,庫存!$A:$I,9,0),"")</f>
        <v/>
      </c>
    </row>
    <row r="440" spans="1:9" ht="23" customHeight="1" x14ac:dyDescent="0.35">
      <c r="A440" s="57"/>
      <c r="B440" s="34" t="str">
        <f>IFERROR(VLOOKUP(A440,庫存!$A:$I,2,0),"")</f>
        <v/>
      </c>
      <c r="C440" s="34" t="str">
        <f>IFERROR(VLOOKUP(A440,庫存!$A:$I,3,0),"")</f>
        <v/>
      </c>
      <c r="D440" s="54"/>
      <c r="E440" s="35" t="str">
        <f t="shared" si="12"/>
        <v/>
      </c>
      <c r="F440" s="45" t="str">
        <f>IFERROR(VLOOKUP(A440,庫存!$A:$I,4,0),"0")</f>
        <v>0</v>
      </c>
      <c r="G440" s="43" t="str">
        <f t="shared" si="13"/>
        <v/>
      </c>
      <c r="H440" s="24" t="str">
        <f>IFERROR(VLOOKUP(A440,庫存!$A:$I,8,0),"")</f>
        <v/>
      </c>
      <c r="I440" s="24" t="str">
        <f>IFERROR(VLOOKUP(A440,庫存!$A:$I,9,0),"")</f>
        <v/>
      </c>
    </row>
    <row r="441" spans="1:9" ht="23" customHeight="1" x14ac:dyDescent="0.35">
      <c r="A441" s="57"/>
      <c r="B441" s="34" t="str">
        <f>IFERROR(VLOOKUP(A441,庫存!$A:$I,2,0),"")</f>
        <v/>
      </c>
      <c r="C441" s="34" t="str">
        <f>IFERROR(VLOOKUP(A441,庫存!$A:$I,3,0),"")</f>
        <v/>
      </c>
      <c r="D441" s="54"/>
      <c r="E441" s="35" t="str">
        <f t="shared" si="12"/>
        <v/>
      </c>
      <c r="F441" s="45" t="str">
        <f>IFERROR(VLOOKUP(A441,庫存!$A:$I,4,0),"0")</f>
        <v>0</v>
      </c>
      <c r="G441" s="43" t="str">
        <f t="shared" si="13"/>
        <v/>
      </c>
      <c r="H441" s="24" t="str">
        <f>IFERROR(VLOOKUP(A441,庫存!$A:$I,8,0),"")</f>
        <v/>
      </c>
      <c r="I441" s="24" t="str">
        <f>IFERROR(VLOOKUP(A441,庫存!$A:$I,9,0),"")</f>
        <v/>
      </c>
    </row>
    <row r="442" spans="1:9" ht="23" customHeight="1" x14ac:dyDescent="0.35">
      <c r="A442" s="57"/>
      <c r="B442" s="34" t="str">
        <f>IFERROR(VLOOKUP(A442,庫存!$A:$I,2,0),"")</f>
        <v/>
      </c>
      <c r="C442" s="34" t="str">
        <f>IFERROR(VLOOKUP(A442,庫存!$A:$I,3,0),"")</f>
        <v/>
      </c>
      <c r="D442" s="54"/>
      <c r="E442" s="35" t="str">
        <f t="shared" si="12"/>
        <v/>
      </c>
      <c r="F442" s="45" t="str">
        <f>IFERROR(VLOOKUP(A442,庫存!$A:$I,4,0),"0")</f>
        <v>0</v>
      </c>
      <c r="G442" s="43" t="str">
        <f t="shared" si="13"/>
        <v/>
      </c>
      <c r="H442" s="24" t="str">
        <f>IFERROR(VLOOKUP(A442,庫存!$A:$I,8,0),"")</f>
        <v/>
      </c>
      <c r="I442" s="24" t="str">
        <f>IFERROR(VLOOKUP(A442,庫存!$A:$I,9,0),"")</f>
        <v/>
      </c>
    </row>
    <row r="443" spans="1:9" ht="23" customHeight="1" x14ac:dyDescent="0.35">
      <c r="A443" s="57"/>
      <c r="B443" s="34" t="str">
        <f>IFERROR(VLOOKUP(A443,庫存!$A:$I,2,0),"")</f>
        <v/>
      </c>
      <c r="C443" s="34" t="str">
        <f>IFERROR(VLOOKUP(A443,庫存!$A:$I,3,0),"")</f>
        <v/>
      </c>
      <c r="D443" s="54"/>
      <c r="E443" s="35" t="str">
        <f t="shared" si="12"/>
        <v/>
      </c>
      <c r="F443" s="45" t="str">
        <f>IFERROR(VLOOKUP(A443,庫存!$A:$I,4,0),"0")</f>
        <v>0</v>
      </c>
      <c r="G443" s="43" t="str">
        <f t="shared" si="13"/>
        <v/>
      </c>
      <c r="H443" s="24" t="str">
        <f>IFERROR(VLOOKUP(A443,庫存!$A:$I,8,0),"")</f>
        <v/>
      </c>
      <c r="I443" s="24" t="str">
        <f>IFERROR(VLOOKUP(A443,庫存!$A:$I,9,0),"")</f>
        <v/>
      </c>
    </row>
    <row r="444" spans="1:9" ht="23" customHeight="1" x14ac:dyDescent="0.35">
      <c r="A444" s="57"/>
      <c r="B444" s="34" t="str">
        <f>IFERROR(VLOOKUP(A444,庫存!$A:$I,2,0),"")</f>
        <v/>
      </c>
      <c r="C444" s="34" t="str">
        <f>IFERROR(VLOOKUP(A444,庫存!$A:$I,3,0),"")</f>
        <v/>
      </c>
      <c r="D444" s="54"/>
      <c r="E444" s="35" t="str">
        <f t="shared" si="12"/>
        <v/>
      </c>
      <c r="F444" s="45" t="str">
        <f>IFERROR(VLOOKUP(A444,庫存!$A:$I,4,0),"0")</f>
        <v>0</v>
      </c>
      <c r="G444" s="43" t="str">
        <f t="shared" si="13"/>
        <v/>
      </c>
      <c r="H444" s="24" t="str">
        <f>IFERROR(VLOOKUP(A444,庫存!$A:$I,8,0),"")</f>
        <v/>
      </c>
      <c r="I444" s="24" t="str">
        <f>IFERROR(VLOOKUP(A444,庫存!$A:$I,9,0),"")</f>
        <v/>
      </c>
    </row>
    <row r="445" spans="1:9" ht="23" customHeight="1" x14ac:dyDescent="0.35">
      <c r="A445" s="57"/>
      <c r="B445" s="34" t="str">
        <f>IFERROR(VLOOKUP(A445,庫存!$A:$I,2,0),"")</f>
        <v/>
      </c>
      <c r="C445" s="34" t="str">
        <f>IFERROR(VLOOKUP(A445,庫存!$A:$I,3,0),"")</f>
        <v/>
      </c>
      <c r="D445" s="54"/>
      <c r="E445" s="35" t="str">
        <f t="shared" si="12"/>
        <v/>
      </c>
      <c r="F445" s="45" t="str">
        <f>IFERROR(VLOOKUP(A445,庫存!$A:$I,4,0),"0")</f>
        <v>0</v>
      </c>
      <c r="G445" s="43" t="str">
        <f t="shared" si="13"/>
        <v/>
      </c>
      <c r="H445" s="24" t="str">
        <f>IFERROR(VLOOKUP(A445,庫存!$A:$I,8,0),"")</f>
        <v/>
      </c>
      <c r="I445" s="24" t="str">
        <f>IFERROR(VLOOKUP(A445,庫存!$A:$I,9,0),"")</f>
        <v/>
      </c>
    </row>
    <row r="446" spans="1:9" ht="23" customHeight="1" x14ac:dyDescent="0.35">
      <c r="A446" s="57"/>
      <c r="B446" s="34" t="str">
        <f>IFERROR(VLOOKUP(A446,庫存!$A:$I,2,0),"")</f>
        <v/>
      </c>
      <c r="C446" s="34" t="str">
        <f>IFERROR(VLOOKUP(A446,庫存!$A:$I,3,0),"")</f>
        <v/>
      </c>
      <c r="D446" s="54"/>
      <c r="E446" s="35" t="str">
        <f t="shared" si="12"/>
        <v/>
      </c>
      <c r="F446" s="45" t="str">
        <f>IFERROR(VLOOKUP(A446,庫存!$A:$I,4,0),"0")</f>
        <v>0</v>
      </c>
      <c r="G446" s="43" t="str">
        <f t="shared" si="13"/>
        <v/>
      </c>
      <c r="H446" s="24" t="str">
        <f>IFERROR(VLOOKUP(A446,庫存!$A:$I,8,0),"")</f>
        <v/>
      </c>
      <c r="I446" s="24" t="str">
        <f>IFERROR(VLOOKUP(A446,庫存!$A:$I,9,0),"")</f>
        <v/>
      </c>
    </row>
    <row r="447" spans="1:9" ht="23" customHeight="1" x14ac:dyDescent="0.35">
      <c r="A447" s="57"/>
      <c r="B447" s="34" t="str">
        <f>IFERROR(VLOOKUP(A447,庫存!$A:$I,2,0),"")</f>
        <v/>
      </c>
      <c r="C447" s="34" t="str">
        <f>IFERROR(VLOOKUP(A447,庫存!$A:$I,3,0),"")</f>
        <v/>
      </c>
      <c r="D447" s="54"/>
      <c r="E447" s="35" t="str">
        <f t="shared" si="12"/>
        <v/>
      </c>
      <c r="F447" s="45" t="str">
        <f>IFERROR(VLOOKUP(A447,庫存!$A:$I,4,0),"0")</f>
        <v>0</v>
      </c>
      <c r="G447" s="43" t="str">
        <f t="shared" si="13"/>
        <v/>
      </c>
      <c r="H447" s="24" t="str">
        <f>IFERROR(VLOOKUP(A447,庫存!$A:$I,8,0),"")</f>
        <v/>
      </c>
      <c r="I447" s="24" t="str">
        <f>IFERROR(VLOOKUP(A447,庫存!$A:$I,9,0),"")</f>
        <v/>
      </c>
    </row>
    <row r="448" spans="1:9" ht="23" customHeight="1" x14ac:dyDescent="0.35">
      <c r="A448" s="57"/>
      <c r="B448" s="34" t="str">
        <f>IFERROR(VLOOKUP(A448,庫存!$A:$I,2,0),"")</f>
        <v/>
      </c>
      <c r="C448" s="34" t="str">
        <f>IFERROR(VLOOKUP(A448,庫存!$A:$I,3,0),"")</f>
        <v/>
      </c>
      <c r="D448" s="54"/>
      <c r="E448" s="35" t="str">
        <f t="shared" si="12"/>
        <v/>
      </c>
      <c r="F448" s="45" t="str">
        <f>IFERROR(VLOOKUP(A448,庫存!$A:$I,4,0),"0")</f>
        <v>0</v>
      </c>
      <c r="G448" s="43" t="str">
        <f t="shared" si="13"/>
        <v/>
      </c>
      <c r="H448" s="24" t="str">
        <f>IFERROR(VLOOKUP(A448,庫存!$A:$I,8,0),"")</f>
        <v/>
      </c>
      <c r="I448" s="24" t="str">
        <f>IFERROR(VLOOKUP(A448,庫存!$A:$I,9,0),"")</f>
        <v/>
      </c>
    </row>
    <row r="449" spans="1:9" ht="23" customHeight="1" x14ac:dyDescent="0.35">
      <c r="A449" s="57"/>
      <c r="B449" s="34" t="str">
        <f>IFERROR(VLOOKUP(A449,庫存!$A:$I,2,0),"")</f>
        <v/>
      </c>
      <c r="C449" s="34" t="str">
        <f>IFERROR(VLOOKUP(A449,庫存!$A:$I,3,0),"")</f>
        <v/>
      </c>
      <c r="D449" s="54"/>
      <c r="E449" s="35" t="str">
        <f t="shared" si="12"/>
        <v/>
      </c>
      <c r="F449" s="45" t="str">
        <f>IFERROR(VLOOKUP(A449,庫存!$A:$I,4,0),"0")</f>
        <v>0</v>
      </c>
      <c r="G449" s="43" t="str">
        <f t="shared" si="13"/>
        <v/>
      </c>
      <c r="H449" s="24" t="str">
        <f>IFERROR(VLOOKUP(A449,庫存!$A:$I,8,0),"")</f>
        <v/>
      </c>
      <c r="I449" s="24" t="str">
        <f>IFERROR(VLOOKUP(A449,庫存!$A:$I,9,0),"")</f>
        <v/>
      </c>
    </row>
    <row r="450" spans="1:9" ht="23" customHeight="1" x14ac:dyDescent="0.35">
      <c r="A450" s="57"/>
      <c r="B450" s="34" t="str">
        <f>IFERROR(VLOOKUP(A450,庫存!$A:$I,2,0),"")</f>
        <v/>
      </c>
      <c r="C450" s="34" t="str">
        <f>IFERROR(VLOOKUP(A450,庫存!$A:$I,3,0),"")</f>
        <v/>
      </c>
      <c r="D450" s="54"/>
      <c r="E450" s="35" t="str">
        <f t="shared" ref="E450:E513" si="14">IF(D450*$E$1=0,"",D450*$E$1)</f>
        <v/>
      </c>
      <c r="F450" s="45" t="str">
        <f>IFERROR(VLOOKUP(A450,庫存!$A:$I,4,0),"0")</f>
        <v>0</v>
      </c>
      <c r="G450" s="43" t="str">
        <f t="shared" ref="G450:G513" si="15">IFERROR(F450-E450,"")</f>
        <v/>
      </c>
      <c r="H450" s="24" t="str">
        <f>IFERROR(VLOOKUP(A450,庫存!$A:$I,8,0),"")</f>
        <v/>
      </c>
      <c r="I450" s="24" t="str">
        <f>IFERROR(VLOOKUP(A450,庫存!$A:$I,9,0),"")</f>
        <v/>
      </c>
    </row>
    <row r="451" spans="1:9" ht="23" customHeight="1" x14ac:dyDescent="0.35">
      <c r="A451" s="57"/>
      <c r="B451" s="34" t="str">
        <f>IFERROR(VLOOKUP(A451,庫存!$A:$I,2,0),"")</f>
        <v/>
      </c>
      <c r="C451" s="34" t="str">
        <f>IFERROR(VLOOKUP(A451,庫存!$A:$I,3,0),"")</f>
        <v/>
      </c>
      <c r="D451" s="54"/>
      <c r="E451" s="35" t="str">
        <f t="shared" si="14"/>
        <v/>
      </c>
      <c r="F451" s="45" t="str">
        <f>IFERROR(VLOOKUP(A451,庫存!$A:$I,4,0),"0")</f>
        <v>0</v>
      </c>
      <c r="G451" s="43" t="str">
        <f t="shared" si="15"/>
        <v/>
      </c>
      <c r="H451" s="24" t="str">
        <f>IFERROR(VLOOKUP(A451,庫存!$A:$I,8,0),"")</f>
        <v/>
      </c>
      <c r="I451" s="24" t="str">
        <f>IFERROR(VLOOKUP(A451,庫存!$A:$I,9,0),"")</f>
        <v/>
      </c>
    </row>
    <row r="452" spans="1:9" ht="23" customHeight="1" x14ac:dyDescent="0.35">
      <c r="A452" s="57"/>
      <c r="B452" s="34" t="str">
        <f>IFERROR(VLOOKUP(A452,庫存!$A:$I,2,0),"")</f>
        <v/>
      </c>
      <c r="C452" s="34" t="str">
        <f>IFERROR(VLOOKUP(A452,庫存!$A:$I,3,0),"")</f>
        <v/>
      </c>
      <c r="D452" s="54"/>
      <c r="E452" s="35" t="str">
        <f t="shared" si="14"/>
        <v/>
      </c>
      <c r="F452" s="45" t="str">
        <f>IFERROR(VLOOKUP(A452,庫存!$A:$I,4,0),"0")</f>
        <v>0</v>
      </c>
      <c r="G452" s="43" t="str">
        <f t="shared" si="15"/>
        <v/>
      </c>
      <c r="H452" s="24" t="str">
        <f>IFERROR(VLOOKUP(A452,庫存!$A:$I,8,0),"")</f>
        <v/>
      </c>
      <c r="I452" s="24" t="str">
        <f>IFERROR(VLOOKUP(A452,庫存!$A:$I,9,0),"")</f>
        <v/>
      </c>
    </row>
    <row r="453" spans="1:9" ht="23" customHeight="1" x14ac:dyDescent="0.35">
      <c r="A453" s="57"/>
      <c r="B453" s="34" t="str">
        <f>IFERROR(VLOOKUP(A453,庫存!$A:$I,2,0),"")</f>
        <v/>
      </c>
      <c r="C453" s="34" t="str">
        <f>IFERROR(VLOOKUP(A453,庫存!$A:$I,3,0),"")</f>
        <v/>
      </c>
      <c r="D453" s="54"/>
      <c r="E453" s="35" t="str">
        <f t="shared" si="14"/>
        <v/>
      </c>
      <c r="F453" s="45" t="str">
        <f>IFERROR(VLOOKUP(A453,庫存!$A:$I,4,0),"0")</f>
        <v>0</v>
      </c>
      <c r="G453" s="43" t="str">
        <f t="shared" si="15"/>
        <v/>
      </c>
      <c r="H453" s="24" t="str">
        <f>IFERROR(VLOOKUP(A453,庫存!$A:$I,8,0),"")</f>
        <v/>
      </c>
      <c r="I453" s="24" t="str">
        <f>IFERROR(VLOOKUP(A453,庫存!$A:$I,9,0),"")</f>
        <v/>
      </c>
    </row>
    <row r="454" spans="1:9" ht="23" customHeight="1" x14ac:dyDescent="0.35">
      <c r="A454" s="57"/>
      <c r="B454" s="34" t="str">
        <f>IFERROR(VLOOKUP(A454,庫存!$A:$I,2,0),"")</f>
        <v/>
      </c>
      <c r="C454" s="34" t="str">
        <f>IFERROR(VLOOKUP(A454,庫存!$A:$I,3,0),"")</f>
        <v/>
      </c>
      <c r="D454" s="54"/>
      <c r="E454" s="35" t="str">
        <f t="shared" si="14"/>
        <v/>
      </c>
      <c r="F454" s="45" t="str">
        <f>IFERROR(VLOOKUP(A454,庫存!$A:$I,4,0),"0")</f>
        <v>0</v>
      </c>
      <c r="G454" s="43" t="str">
        <f t="shared" si="15"/>
        <v/>
      </c>
      <c r="H454" s="24" t="str">
        <f>IFERROR(VLOOKUP(A454,庫存!$A:$I,8,0),"")</f>
        <v/>
      </c>
      <c r="I454" s="24" t="str">
        <f>IFERROR(VLOOKUP(A454,庫存!$A:$I,9,0),"")</f>
        <v/>
      </c>
    </row>
    <row r="455" spans="1:9" ht="23" customHeight="1" x14ac:dyDescent="0.35">
      <c r="A455" s="57"/>
      <c r="B455" s="34" t="str">
        <f>IFERROR(VLOOKUP(A455,庫存!$A:$I,2,0),"")</f>
        <v/>
      </c>
      <c r="C455" s="34" t="str">
        <f>IFERROR(VLOOKUP(A455,庫存!$A:$I,3,0),"")</f>
        <v/>
      </c>
      <c r="D455" s="54"/>
      <c r="E455" s="35" t="str">
        <f t="shared" si="14"/>
        <v/>
      </c>
      <c r="F455" s="45" t="str">
        <f>IFERROR(VLOOKUP(A455,庫存!$A:$I,4,0),"0")</f>
        <v>0</v>
      </c>
      <c r="G455" s="43" t="str">
        <f t="shared" si="15"/>
        <v/>
      </c>
      <c r="H455" s="24" t="str">
        <f>IFERROR(VLOOKUP(A455,庫存!$A:$I,8,0),"")</f>
        <v/>
      </c>
      <c r="I455" s="24" t="str">
        <f>IFERROR(VLOOKUP(A455,庫存!$A:$I,9,0),"")</f>
        <v/>
      </c>
    </row>
    <row r="456" spans="1:9" ht="23" customHeight="1" x14ac:dyDescent="0.35">
      <c r="A456" s="57"/>
      <c r="B456" s="34" t="str">
        <f>IFERROR(VLOOKUP(A456,庫存!$A:$I,2,0),"")</f>
        <v/>
      </c>
      <c r="C456" s="34" t="str">
        <f>IFERROR(VLOOKUP(A456,庫存!$A:$I,3,0),"")</f>
        <v/>
      </c>
      <c r="D456" s="54"/>
      <c r="E456" s="35" t="str">
        <f t="shared" si="14"/>
        <v/>
      </c>
      <c r="F456" s="45" t="str">
        <f>IFERROR(VLOOKUP(A456,庫存!$A:$I,4,0),"0")</f>
        <v>0</v>
      </c>
      <c r="G456" s="43" t="str">
        <f t="shared" si="15"/>
        <v/>
      </c>
      <c r="H456" s="24" t="str">
        <f>IFERROR(VLOOKUP(A456,庫存!$A:$I,8,0),"")</f>
        <v/>
      </c>
      <c r="I456" s="24" t="str">
        <f>IFERROR(VLOOKUP(A456,庫存!$A:$I,9,0),"")</f>
        <v/>
      </c>
    </row>
    <row r="457" spans="1:9" ht="23" customHeight="1" x14ac:dyDescent="0.35">
      <c r="A457" s="57"/>
      <c r="B457" s="34" t="str">
        <f>IFERROR(VLOOKUP(A457,庫存!$A:$I,2,0),"")</f>
        <v/>
      </c>
      <c r="C457" s="34" t="str">
        <f>IFERROR(VLOOKUP(A457,庫存!$A:$I,3,0),"")</f>
        <v/>
      </c>
      <c r="D457" s="54"/>
      <c r="E457" s="35" t="str">
        <f t="shared" si="14"/>
        <v/>
      </c>
      <c r="F457" s="45" t="str">
        <f>IFERROR(VLOOKUP(A457,庫存!$A:$I,4,0),"0")</f>
        <v>0</v>
      </c>
      <c r="G457" s="43" t="str">
        <f t="shared" si="15"/>
        <v/>
      </c>
      <c r="H457" s="24" t="str">
        <f>IFERROR(VLOOKUP(A457,庫存!$A:$I,8,0),"")</f>
        <v/>
      </c>
      <c r="I457" s="24" t="str">
        <f>IFERROR(VLOOKUP(A457,庫存!$A:$I,9,0),"")</f>
        <v/>
      </c>
    </row>
    <row r="458" spans="1:9" ht="23" customHeight="1" x14ac:dyDescent="0.35">
      <c r="A458" s="57"/>
      <c r="B458" s="34" t="str">
        <f>IFERROR(VLOOKUP(A458,庫存!$A:$I,2,0),"")</f>
        <v/>
      </c>
      <c r="C458" s="34" t="str">
        <f>IFERROR(VLOOKUP(A458,庫存!$A:$I,3,0),"")</f>
        <v/>
      </c>
      <c r="D458" s="54"/>
      <c r="E458" s="35" t="str">
        <f t="shared" si="14"/>
        <v/>
      </c>
      <c r="F458" s="45" t="str">
        <f>IFERROR(VLOOKUP(A458,庫存!$A:$I,4,0),"0")</f>
        <v>0</v>
      </c>
      <c r="G458" s="43" t="str">
        <f t="shared" si="15"/>
        <v/>
      </c>
      <c r="H458" s="24" t="str">
        <f>IFERROR(VLOOKUP(A458,庫存!$A:$I,8,0),"")</f>
        <v/>
      </c>
      <c r="I458" s="24" t="str">
        <f>IFERROR(VLOOKUP(A458,庫存!$A:$I,9,0),"")</f>
        <v/>
      </c>
    </row>
    <row r="459" spans="1:9" ht="23" customHeight="1" x14ac:dyDescent="0.35">
      <c r="A459" s="57"/>
      <c r="B459" s="34" t="str">
        <f>IFERROR(VLOOKUP(A459,庫存!$A:$I,2,0),"")</f>
        <v/>
      </c>
      <c r="C459" s="34" t="str">
        <f>IFERROR(VLOOKUP(A459,庫存!$A:$I,3,0),"")</f>
        <v/>
      </c>
      <c r="D459" s="54"/>
      <c r="E459" s="35" t="str">
        <f t="shared" si="14"/>
        <v/>
      </c>
      <c r="F459" s="45" t="str">
        <f>IFERROR(VLOOKUP(A459,庫存!$A:$I,4,0),"0")</f>
        <v>0</v>
      </c>
      <c r="G459" s="43" t="str">
        <f t="shared" si="15"/>
        <v/>
      </c>
      <c r="H459" s="24" t="str">
        <f>IFERROR(VLOOKUP(A459,庫存!$A:$I,8,0),"")</f>
        <v/>
      </c>
      <c r="I459" s="24" t="str">
        <f>IFERROR(VLOOKUP(A459,庫存!$A:$I,9,0),"")</f>
        <v/>
      </c>
    </row>
    <row r="460" spans="1:9" ht="23" customHeight="1" x14ac:dyDescent="0.35">
      <c r="A460" s="57"/>
      <c r="B460" s="34" t="str">
        <f>IFERROR(VLOOKUP(A460,庫存!$A:$I,2,0),"")</f>
        <v/>
      </c>
      <c r="C460" s="34" t="str">
        <f>IFERROR(VLOOKUP(A460,庫存!$A:$I,3,0),"")</f>
        <v/>
      </c>
      <c r="D460" s="54"/>
      <c r="E460" s="35" t="str">
        <f t="shared" si="14"/>
        <v/>
      </c>
      <c r="F460" s="45" t="str">
        <f>IFERROR(VLOOKUP(A460,庫存!$A:$I,4,0),"0")</f>
        <v>0</v>
      </c>
      <c r="G460" s="43" t="str">
        <f t="shared" si="15"/>
        <v/>
      </c>
      <c r="H460" s="24" t="str">
        <f>IFERROR(VLOOKUP(A460,庫存!$A:$I,8,0),"")</f>
        <v/>
      </c>
      <c r="I460" s="24" t="str">
        <f>IFERROR(VLOOKUP(A460,庫存!$A:$I,9,0),"")</f>
        <v/>
      </c>
    </row>
    <row r="461" spans="1:9" ht="23" customHeight="1" x14ac:dyDescent="0.35">
      <c r="A461" s="57"/>
      <c r="B461" s="34" t="str">
        <f>IFERROR(VLOOKUP(A461,庫存!$A:$I,2,0),"")</f>
        <v/>
      </c>
      <c r="C461" s="34" t="str">
        <f>IFERROR(VLOOKUP(A461,庫存!$A:$I,3,0),"")</f>
        <v/>
      </c>
      <c r="D461" s="54"/>
      <c r="E461" s="35" t="str">
        <f t="shared" si="14"/>
        <v/>
      </c>
      <c r="F461" s="45" t="str">
        <f>IFERROR(VLOOKUP(A461,庫存!$A:$I,4,0),"0")</f>
        <v>0</v>
      </c>
      <c r="G461" s="43" t="str">
        <f t="shared" si="15"/>
        <v/>
      </c>
      <c r="H461" s="24" t="str">
        <f>IFERROR(VLOOKUP(A461,庫存!$A:$I,8,0),"")</f>
        <v/>
      </c>
      <c r="I461" s="24" t="str">
        <f>IFERROR(VLOOKUP(A461,庫存!$A:$I,9,0),"")</f>
        <v/>
      </c>
    </row>
    <row r="462" spans="1:9" ht="23" customHeight="1" x14ac:dyDescent="0.35">
      <c r="A462" s="57"/>
      <c r="B462" s="34" t="str">
        <f>IFERROR(VLOOKUP(A462,庫存!$A:$I,2,0),"")</f>
        <v/>
      </c>
      <c r="C462" s="34" t="str">
        <f>IFERROR(VLOOKUP(A462,庫存!$A:$I,3,0),"")</f>
        <v/>
      </c>
      <c r="D462" s="54"/>
      <c r="E462" s="35" t="str">
        <f t="shared" si="14"/>
        <v/>
      </c>
      <c r="F462" s="45" t="str">
        <f>IFERROR(VLOOKUP(A462,庫存!$A:$I,4,0),"0")</f>
        <v>0</v>
      </c>
      <c r="G462" s="43" t="str">
        <f t="shared" si="15"/>
        <v/>
      </c>
      <c r="H462" s="24" t="str">
        <f>IFERROR(VLOOKUP(A462,庫存!$A:$I,8,0),"")</f>
        <v/>
      </c>
      <c r="I462" s="24" t="str">
        <f>IFERROR(VLOOKUP(A462,庫存!$A:$I,9,0),"")</f>
        <v/>
      </c>
    </row>
    <row r="463" spans="1:9" ht="23" customHeight="1" x14ac:dyDescent="0.35">
      <c r="A463" s="57"/>
      <c r="B463" s="34" t="str">
        <f>IFERROR(VLOOKUP(A463,庫存!$A:$I,2,0),"")</f>
        <v/>
      </c>
      <c r="C463" s="34" t="str">
        <f>IFERROR(VLOOKUP(A463,庫存!$A:$I,3,0),"")</f>
        <v/>
      </c>
      <c r="D463" s="54"/>
      <c r="E463" s="35" t="str">
        <f t="shared" si="14"/>
        <v/>
      </c>
      <c r="F463" s="45" t="str">
        <f>IFERROR(VLOOKUP(A463,庫存!$A:$I,4,0),"0")</f>
        <v>0</v>
      </c>
      <c r="G463" s="43" t="str">
        <f t="shared" si="15"/>
        <v/>
      </c>
      <c r="H463" s="24" t="str">
        <f>IFERROR(VLOOKUP(A463,庫存!$A:$I,8,0),"")</f>
        <v/>
      </c>
      <c r="I463" s="24" t="str">
        <f>IFERROR(VLOOKUP(A463,庫存!$A:$I,9,0),"")</f>
        <v/>
      </c>
    </row>
    <row r="464" spans="1:9" ht="23" customHeight="1" x14ac:dyDescent="0.35">
      <c r="A464" s="57"/>
      <c r="B464" s="34" t="str">
        <f>IFERROR(VLOOKUP(A464,庫存!$A:$I,2,0),"")</f>
        <v/>
      </c>
      <c r="C464" s="34" t="str">
        <f>IFERROR(VLOOKUP(A464,庫存!$A:$I,3,0),"")</f>
        <v/>
      </c>
      <c r="D464" s="54"/>
      <c r="E464" s="35" t="str">
        <f t="shared" si="14"/>
        <v/>
      </c>
      <c r="F464" s="45" t="str">
        <f>IFERROR(VLOOKUP(A464,庫存!$A:$I,4,0),"0")</f>
        <v>0</v>
      </c>
      <c r="G464" s="43" t="str">
        <f t="shared" si="15"/>
        <v/>
      </c>
      <c r="H464" s="24" t="str">
        <f>IFERROR(VLOOKUP(A464,庫存!$A:$I,8,0),"")</f>
        <v/>
      </c>
      <c r="I464" s="24" t="str">
        <f>IFERROR(VLOOKUP(A464,庫存!$A:$I,9,0),"")</f>
        <v/>
      </c>
    </row>
    <row r="465" spans="1:9" ht="23" customHeight="1" x14ac:dyDescent="0.35">
      <c r="A465" s="57"/>
      <c r="B465" s="34" t="str">
        <f>IFERROR(VLOOKUP(A465,庫存!$A:$I,2,0),"")</f>
        <v/>
      </c>
      <c r="C465" s="34" t="str">
        <f>IFERROR(VLOOKUP(A465,庫存!$A:$I,3,0),"")</f>
        <v/>
      </c>
      <c r="D465" s="54"/>
      <c r="E465" s="35" t="str">
        <f t="shared" si="14"/>
        <v/>
      </c>
      <c r="F465" s="45" t="str">
        <f>IFERROR(VLOOKUP(A465,庫存!$A:$I,4,0),"0")</f>
        <v>0</v>
      </c>
      <c r="G465" s="43" t="str">
        <f t="shared" si="15"/>
        <v/>
      </c>
      <c r="H465" s="24" t="str">
        <f>IFERROR(VLOOKUP(A465,庫存!$A:$I,8,0),"")</f>
        <v/>
      </c>
      <c r="I465" s="24" t="str">
        <f>IFERROR(VLOOKUP(A465,庫存!$A:$I,9,0),"")</f>
        <v/>
      </c>
    </row>
    <row r="466" spans="1:9" ht="23" customHeight="1" x14ac:dyDescent="0.35">
      <c r="A466" s="57"/>
      <c r="B466" s="34" t="str">
        <f>IFERROR(VLOOKUP(A466,庫存!$A:$I,2,0),"")</f>
        <v/>
      </c>
      <c r="C466" s="34" t="str">
        <f>IFERROR(VLOOKUP(A466,庫存!$A:$I,3,0),"")</f>
        <v/>
      </c>
      <c r="D466" s="54"/>
      <c r="E466" s="35" t="str">
        <f t="shared" si="14"/>
        <v/>
      </c>
      <c r="F466" s="45" t="str">
        <f>IFERROR(VLOOKUP(A466,庫存!$A:$I,4,0),"0")</f>
        <v>0</v>
      </c>
      <c r="G466" s="43" t="str">
        <f t="shared" si="15"/>
        <v/>
      </c>
      <c r="H466" s="24" t="str">
        <f>IFERROR(VLOOKUP(A466,庫存!$A:$I,8,0),"")</f>
        <v/>
      </c>
      <c r="I466" s="24" t="str">
        <f>IFERROR(VLOOKUP(A466,庫存!$A:$I,9,0),"")</f>
        <v/>
      </c>
    </row>
    <row r="467" spans="1:9" ht="23" customHeight="1" x14ac:dyDescent="0.35">
      <c r="A467" s="57"/>
      <c r="B467" s="34" t="str">
        <f>IFERROR(VLOOKUP(A467,庫存!$A:$I,2,0),"")</f>
        <v/>
      </c>
      <c r="C467" s="34" t="str">
        <f>IFERROR(VLOOKUP(A467,庫存!$A:$I,3,0),"")</f>
        <v/>
      </c>
      <c r="D467" s="54"/>
      <c r="E467" s="35" t="str">
        <f t="shared" si="14"/>
        <v/>
      </c>
      <c r="F467" s="45" t="str">
        <f>IFERROR(VLOOKUP(A467,庫存!$A:$I,4,0),"0")</f>
        <v>0</v>
      </c>
      <c r="G467" s="43" t="str">
        <f t="shared" si="15"/>
        <v/>
      </c>
      <c r="H467" s="24" t="str">
        <f>IFERROR(VLOOKUP(A467,庫存!$A:$I,8,0),"")</f>
        <v/>
      </c>
      <c r="I467" s="24" t="str">
        <f>IFERROR(VLOOKUP(A467,庫存!$A:$I,9,0),"")</f>
        <v/>
      </c>
    </row>
    <row r="468" spans="1:9" ht="23" customHeight="1" x14ac:dyDescent="0.35">
      <c r="A468" s="57"/>
      <c r="B468" s="34" t="str">
        <f>IFERROR(VLOOKUP(A468,庫存!$A:$I,2,0),"")</f>
        <v/>
      </c>
      <c r="C468" s="34" t="str">
        <f>IFERROR(VLOOKUP(A468,庫存!$A:$I,3,0),"")</f>
        <v/>
      </c>
      <c r="D468" s="54"/>
      <c r="E468" s="35" t="str">
        <f t="shared" si="14"/>
        <v/>
      </c>
      <c r="F468" s="45" t="str">
        <f>IFERROR(VLOOKUP(A468,庫存!$A:$I,4,0),"0")</f>
        <v>0</v>
      </c>
      <c r="G468" s="43" t="str">
        <f t="shared" si="15"/>
        <v/>
      </c>
      <c r="H468" s="24" t="str">
        <f>IFERROR(VLOOKUP(A468,庫存!$A:$I,8,0),"")</f>
        <v/>
      </c>
      <c r="I468" s="24" t="str">
        <f>IFERROR(VLOOKUP(A468,庫存!$A:$I,9,0),"")</f>
        <v/>
      </c>
    </row>
    <row r="469" spans="1:9" ht="23" customHeight="1" x14ac:dyDescent="0.35">
      <c r="A469" s="57"/>
      <c r="B469" s="34" t="str">
        <f>IFERROR(VLOOKUP(A469,庫存!$A:$I,2,0),"")</f>
        <v/>
      </c>
      <c r="C469" s="34" t="str">
        <f>IFERROR(VLOOKUP(A469,庫存!$A:$I,3,0),"")</f>
        <v/>
      </c>
      <c r="D469" s="54"/>
      <c r="E469" s="35" t="str">
        <f t="shared" si="14"/>
        <v/>
      </c>
      <c r="F469" s="45" t="str">
        <f>IFERROR(VLOOKUP(A469,庫存!$A:$I,4,0),"0")</f>
        <v>0</v>
      </c>
      <c r="G469" s="43" t="str">
        <f t="shared" si="15"/>
        <v/>
      </c>
      <c r="H469" s="24" t="str">
        <f>IFERROR(VLOOKUP(A469,庫存!$A:$I,8,0),"")</f>
        <v/>
      </c>
      <c r="I469" s="24" t="str">
        <f>IFERROR(VLOOKUP(A469,庫存!$A:$I,9,0),"")</f>
        <v/>
      </c>
    </row>
    <row r="470" spans="1:9" ht="23" customHeight="1" x14ac:dyDescent="0.35">
      <c r="A470" s="57"/>
      <c r="B470" s="34" t="str">
        <f>IFERROR(VLOOKUP(A470,庫存!$A:$I,2,0),"")</f>
        <v/>
      </c>
      <c r="C470" s="34" t="str">
        <f>IFERROR(VLOOKUP(A470,庫存!$A:$I,3,0),"")</f>
        <v/>
      </c>
      <c r="D470" s="54"/>
      <c r="E470" s="35" t="str">
        <f t="shared" si="14"/>
        <v/>
      </c>
      <c r="F470" s="45" t="str">
        <f>IFERROR(VLOOKUP(A470,庫存!$A:$I,4,0),"0")</f>
        <v>0</v>
      </c>
      <c r="G470" s="43" t="str">
        <f t="shared" si="15"/>
        <v/>
      </c>
      <c r="H470" s="24" t="str">
        <f>IFERROR(VLOOKUP(A470,庫存!$A:$I,8,0),"")</f>
        <v/>
      </c>
      <c r="I470" s="24" t="str">
        <f>IFERROR(VLOOKUP(A470,庫存!$A:$I,9,0),"")</f>
        <v/>
      </c>
    </row>
    <row r="471" spans="1:9" ht="23" customHeight="1" x14ac:dyDescent="0.35">
      <c r="A471" s="57"/>
      <c r="B471" s="34" t="str">
        <f>IFERROR(VLOOKUP(A471,庫存!$A:$I,2,0),"")</f>
        <v/>
      </c>
      <c r="C471" s="34" t="str">
        <f>IFERROR(VLOOKUP(A471,庫存!$A:$I,3,0),"")</f>
        <v/>
      </c>
      <c r="D471" s="54"/>
      <c r="E471" s="35" t="str">
        <f t="shared" si="14"/>
        <v/>
      </c>
      <c r="F471" s="45" t="str">
        <f>IFERROR(VLOOKUP(A471,庫存!$A:$I,4,0),"0")</f>
        <v>0</v>
      </c>
      <c r="G471" s="43" t="str">
        <f t="shared" si="15"/>
        <v/>
      </c>
      <c r="H471" s="24" t="str">
        <f>IFERROR(VLOOKUP(A471,庫存!$A:$I,8,0),"")</f>
        <v/>
      </c>
      <c r="I471" s="24" t="str">
        <f>IFERROR(VLOOKUP(A471,庫存!$A:$I,9,0),"")</f>
        <v/>
      </c>
    </row>
    <row r="472" spans="1:9" ht="23" customHeight="1" x14ac:dyDescent="0.35">
      <c r="A472" s="57"/>
      <c r="B472" s="34" t="str">
        <f>IFERROR(VLOOKUP(A472,庫存!$A:$I,2,0),"")</f>
        <v/>
      </c>
      <c r="C472" s="34" t="str">
        <f>IFERROR(VLOOKUP(A472,庫存!$A:$I,3,0),"")</f>
        <v/>
      </c>
      <c r="D472" s="54"/>
      <c r="E472" s="35" t="str">
        <f t="shared" si="14"/>
        <v/>
      </c>
      <c r="F472" s="45" t="str">
        <f>IFERROR(VLOOKUP(A472,庫存!$A:$I,4,0),"0")</f>
        <v>0</v>
      </c>
      <c r="G472" s="43" t="str">
        <f t="shared" si="15"/>
        <v/>
      </c>
      <c r="H472" s="24" t="str">
        <f>IFERROR(VLOOKUP(A472,庫存!$A:$I,8,0),"")</f>
        <v/>
      </c>
      <c r="I472" s="24" t="str">
        <f>IFERROR(VLOOKUP(A472,庫存!$A:$I,9,0),"")</f>
        <v/>
      </c>
    </row>
    <row r="473" spans="1:9" ht="23" customHeight="1" x14ac:dyDescent="0.35">
      <c r="A473" s="57"/>
      <c r="B473" s="34" t="str">
        <f>IFERROR(VLOOKUP(A473,庫存!$A:$I,2,0),"")</f>
        <v/>
      </c>
      <c r="C473" s="34" t="str">
        <f>IFERROR(VLOOKUP(A473,庫存!$A:$I,3,0),"")</f>
        <v/>
      </c>
      <c r="D473" s="54"/>
      <c r="E473" s="35" t="str">
        <f t="shared" si="14"/>
        <v/>
      </c>
      <c r="F473" s="45" t="str">
        <f>IFERROR(VLOOKUP(A473,庫存!$A:$I,4,0),"0")</f>
        <v>0</v>
      </c>
      <c r="G473" s="43" t="str">
        <f t="shared" si="15"/>
        <v/>
      </c>
      <c r="H473" s="24" t="str">
        <f>IFERROR(VLOOKUP(A473,庫存!$A:$I,8,0),"")</f>
        <v/>
      </c>
      <c r="I473" s="24" t="str">
        <f>IFERROR(VLOOKUP(A473,庫存!$A:$I,9,0),"")</f>
        <v/>
      </c>
    </row>
    <row r="474" spans="1:9" ht="23" customHeight="1" x14ac:dyDescent="0.35">
      <c r="A474" s="57"/>
      <c r="B474" s="34" t="str">
        <f>IFERROR(VLOOKUP(A474,庫存!$A:$I,2,0),"")</f>
        <v/>
      </c>
      <c r="C474" s="34" t="str">
        <f>IFERROR(VLOOKUP(A474,庫存!$A:$I,3,0),"")</f>
        <v/>
      </c>
      <c r="D474" s="54"/>
      <c r="E474" s="35" t="str">
        <f t="shared" si="14"/>
        <v/>
      </c>
      <c r="F474" s="45" t="str">
        <f>IFERROR(VLOOKUP(A474,庫存!$A:$I,4,0),"0")</f>
        <v>0</v>
      </c>
      <c r="G474" s="43" t="str">
        <f t="shared" si="15"/>
        <v/>
      </c>
      <c r="H474" s="24" t="str">
        <f>IFERROR(VLOOKUP(A474,庫存!$A:$I,8,0),"")</f>
        <v/>
      </c>
      <c r="I474" s="24" t="str">
        <f>IFERROR(VLOOKUP(A474,庫存!$A:$I,9,0),"")</f>
        <v/>
      </c>
    </row>
    <row r="475" spans="1:9" ht="23" customHeight="1" x14ac:dyDescent="0.35">
      <c r="A475" s="57"/>
      <c r="B475" s="34" t="str">
        <f>IFERROR(VLOOKUP(A475,庫存!$A:$I,2,0),"")</f>
        <v/>
      </c>
      <c r="C475" s="34" t="str">
        <f>IFERROR(VLOOKUP(A475,庫存!$A:$I,3,0),"")</f>
        <v/>
      </c>
      <c r="D475" s="54"/>
      <c r="E475" s="35" t="str">
        <f t="shared" si="14"/>
        <v/>
      </c>
      <c r="F475" s="45" t="str">
        <f>IFERROR(VLOOKUP(A475,庫存!$A:$I,4,0),"0")</f>
        <v>0</v>
      </c>
      <c r="G475" s="43" t="str">
        <f t="shared" si="15"/>
        <v/>
      </c>
      <c r="H475" s="24" t="str">
        <f>IFERROR(VLOOKUP(A475,庫存!$A:$I,8,0),"")</f>
        <v/>
      </c>
      <c r="I475" s="24" t="str">
        <f>IFERROR(VLOOKUP(A475,庫存!$A:$I,9,0),"")</f>
        <v/>
      </c>
    </row>
    <row r="476" spans="1:9" ht="23" customHeight="1" x14ac:dyDescent="0.35">
      <c r="A476" s="57"/>
      <c r="B476" s="34" t="str">
        <f>IFERROR(VLOOKUP(A476,庫存!$A:$I,2,0),"")</f>
        <v/>
      </c>
      <c r="C476" s="34" t="str">
        <f>IFERROR(VLOOKUP(A476,庫存!$A:$I,3,0),"")</f>
        <v/>
      </c>
      <c r="D476" s="54"/>
      <c r="E476" s="35" t="str">
        <f t="shared" si="14"/>
        <v/>
      </c>
      <c r="F476" s="45" t="str">
        <f>IFERROR(VLOOKUP(A476,庫存!$A:$I,4,0),"0")</f>
        <v>0</v>
      </c>
      <c r="G476" s="43" t="str">
        <f t="shared" si="15"/>
        <v/>
      </c>
      <c r="H476" s="24" t="str">
        <f>IFERROR(VLOOKUP(A476,庫存!$A:$I,8,0),"")</f>
        <v/>
      </c>
      <c r="I476" s="24" t="str">
        <f>IFERROR(VLOOKUP(A476,庫存!$A:$I,9,0),"")</f>
        <v/>
      </c>
    </row>
    <row r="477" spans="1:9" ht="23" customHeight="1" x14ac:dyDescent="0.35">
      <c r="A477" s="57"/>
      <c r="B477" s="34" t="str">
        <f>IFERROR(VLOOKUP(A477,庫存!$A:$I,2,0),"")</f>
        <v/>
      </c>
      <c r="C477" s="34" t="str">
        <f>IFERROR(VLOOKUP(A477,庫存!$A:$I,3,0),"")</f>
        <v/>
      </c>
      <c r="D477" s="54"/>
      <c r="E477" s="35" t="str">
        <f t="shared" si="14"/>
        <v/>
      </c>
      <c r="F477" s="45" t="str">
        <f>IFERROR(VLOOKUP(A477,庫存!$A:$I,4,0),"0")</f>
        <v>0</v>
      </c>
      <c r="G477" s="43" t="str">
        <f t="shared" si="15"/>
        <v/>
      </c>
      <c r="H477" s="24" t="str">
        <f>IFERROR(VLOOKUP(A477,庫存!$A:$I,8,0),"")</f>
        <v/>
      </c>
      <c r="I477" s="24" t="str">
        <f>IFERROR(VLOOKUP(A477,庫存!$A:$I,9,0),"")</f>
        <v/>
      </c>
    </row>
    <row r="478" spans="1:9" ht="23" customHeight="1" x14ac:dyDescent="0.35">
      <c r="A478" s="57"/>
      <c r="B478" s="34" t="str">
        <f>IFERROR(VLOOKUP(A478,庫存!$A:$I,2,0),"")</f>
        <v/>
      </c>
      <c r="C478" s="34" t="str">
        <f>IFERROR(VLOOKUP(A478,庫存!$A:$I,3,0),"")</f>
        <v/>
      </c>
      <c r="D478" s="54"/>
      <c r="E478" s="35" t="str">
        <f t="shared" si="14"/>
        <v/>
      </c>
      <c r="F478" s="45" t="str">
        <f>IFERROR(VLOOKUP(A478,庫存!$A:$I,4,0),"0")</f>
        <v>0</v>
      </c>
      <c r="G478" s="43" t="str">
        <f t="shared" si="15"/>
        <v/>
      </c>
      <c r="H478" s="24" t="str">
        <f>IFERROR(VLOOKUP(A478,庫存!$A:$I,8,0),"")</f>
        <v/>
      </c>
      <c r="I478" s="24" t="str">
        <f>IFERROR(VLOOKUP(A478,庫存!$A:$I,9,0),"")</f>
        <v/>
      </c>
    </row>
    <row r="479" spans="1:9" ht="23" customHeight="1" x14ac:dyDescent="0.35">
      <c r="A479" s="57"/>
      <c r="B479" s="34" t="str">
        <f>IFERROR(VLOOKUP(A479,庫存!$A:$I,2,0),"")</f>
        <v/>
      </c>
      <c r="C479" s="34" t="str">
        <f>IFERROR(VLOOKUP(A479,庫存!$A:$I,3,0),"")</f>
        <v/>
      </c>
      <c r="D479" s="54"/>
      <c r="E479" s="35" t="str">
        <f t="shared" si="14"/>
        <v/>
      </c>
      <c r="F479" s="45" t="str">
        <f>IFERROR(VLOOKUP(A479,庫存!$A:$I,4,0),"0")</f>
        <v>0</v>
      </c>
      <c r="G479" s="43" t="str">
        <f t="shared" si="15"/>
        <v/>
      </c>
      <c r="H479" s="24" t="str">
        <f>IFERROR(VLOOKUP(A479,庫存!$A:$I,8,0),"")</f>
        <v/>
      </c>
      <c r="I479" s="24" t="str">
        <f>IFERROR(VLOOKUP(A479,庫存!$A:$I,9,0),"")</f>
        <v/>
      </c>
    </row>
    <row r="480" spans="1:9" ht="23" customHeight="1" x14ac:dyDescent="0.35">
      <c r="A480" s="57"/>
      <c r="B480" s="34" t="str">
        <f>IFERROR(VLOOKUP(A480,庫存!$A:$I,2,0),"")</f>
        <v/>
      </c>
      <c r="C480" s="34" t="str">
        <f>IFERROR(VLOOKUP(A480,庫存!$A:$I,3,0),"")</f>
        <v/>
      </c>
      <c r="D480" s="54"/>
      <c r="E480" s="35" t="str">
        <f t="shared" si="14"/>
        <v/>
      </c>
      <c r="F480" s="45" t="str">
        <f>IFERROR(VLOOKUP(A480,庫存!$A:$I,4,0),"0")</f>
        <v>0</v>
      </c>
      <c r="G480" s="43" t="str">
        <f t="shared" si="15"/>
        <v/>
      </c>
      <c r="H480" s="24" t="str">
        <f>IFERROR(VLOOKUP(A480,庫存!$A:$I,8,0),"")</f>
        <v/>
      </c>
      <c r="I480" s="24" t="str">
        <f>IFERROR(VLOOKUP(A480,庫存!$A:$I,9,0),"")</f>
        <v/>
      </c>
    </row>
    <row r="481" spans="1:9" ht="23" customHeight="1" x14ac:dyDescent="0.35">
      <c r="A481" s="57"/>
      <c r="B481" s="34" t="str">
        <f>IFERROR(VLOOKUP(A481,庫存!$A:$I,2,0),"")</f>
        <v/>
      </c>
      <c r="C481" s="34" t="str">
        <f>IFERROR(VLOOKUP(A481,庫存!$A:$I,3,0),"")</f>
        <v/>
      </c>
      <c r="D481" s="54"/>
      <c r="E481" s="35" t="str">
        <f t="shared" si="14"/>
        <v/>
      </c>
      <c r="F481" s="45" t="str">
        <f>IFERROR(VLOOKUP(A481,庫存!$A:$I,4,0),"0")</f>
        <v>0</v>
      </c>
      <c r="G481" s="43" t="str">
        <f t="shared" si="15"/>
        <v/>
      </c>
      <c r="H481" s="24" t="str">
        <f>IFERROR(VLOOKUP(A481,庫存!$A:$I,8,0),"")</f>
        <v/>
      </c>
      <c r="I481" s="24" t="str">
        <f>IFERROR(VLOOKUP(A481,庫存!$A:$I,9,0),"")</f>
        <v/>
      </c>
    </row>
    <row r="482" spans="1:9" ht="23" customHeight="1" x14ac:dyDescent="0.35">
      <c r="A482" s="57"/>
      <c r="B482" s="34" t="str">
        <f>IFERROR(VLOOKUP(A482,庫存!$A:$I,2,0),"")</f>
        <v/>
      </c>
      <c r="C482" s="34" t="str">
        <f>IFERROR(VLOOKUP(A482,庫存!$A:$I,3,0),"")</f>
        <v/>
      </c>
      <c r="D482" s="54"/>
      <c r="E482" s="35" t="str">
        <f t="shared" si="14"/>
        <v/>
      </c>
      <c r="F482" s="45" t="str">
        <f>IFERROR(VLOOKUP(A482,庫存!$A:$I,4,0),"0")</f>
        <v>0</v>
      </c>
      <c r="G482" s="43" t="str">
        <f t="shared" si="15"/>
        <v/>
      </c>
      <c r="H482" s="24" t="str">
        <f>IFERROR(VLOOKUP(A482,庫存!$A:$I,8,0),"")</f>
        <v/>
      </c>
      <c r="I482" s="24" t="str">
        <f>IFERROR(VLOOKUP(A482,庫存!$A:$I,9,0),"")</f>
        <v/>
      </c>
    </row>
    <row r="483" spans="1:9" ht="23" customHeight="1" x14ac:dyDescent="0.35">
      <c r="A483" s="57"/>
      <c r="B483" s="34" t="str">
        <f>IFERROR(VLOOKUP(A483,庫存!$A:$I,2,0),"")</f>
        <v/>
      </c>
      <c r="C483" s="34" t="str">
        <f>IFERROR(VLOOKUP(A483,庫存!$A:$I,3,0),"")</f>
        <v/>
      </c>
      <c r="D483" s="54"/>
      <c r="E483" s="35" t="str">
        <f t="shared" si="14"/>
        <v/>
      </c>
      <c r="F483" s="45" t="str">
        <f>IFERROR(VLOOKUP(A483,庫存!$A:$I,4,0),"0")</f>
        <v>0</v>
      </c>
      <c r="G483" s="43" t="str">
        <f t="shared" si="15"/>
        <v/>
      </c>
      <c r="H483" s="24" t="str">
        <f>IFERROR(VLOOKUP(A483,庫存!$A:$I,8,0),"")</f>
        <v/>
      </c>
      <c r="I483" s="24" t="str">
        <f>IFERROR(VLOOKUP(A483,庫存!$A:$I,9,0),"")</f>
        <v/>
      </c>
    </row>
    <row r="484" spans="1:9" ht="23" customHeight="1" x14ac:dyDescent="0.35">
      <c r="A484" s="57"/>
      <c r="B484" s="34" t="str">
        <f>IFERROR(VLOOKUP(A484,庫存!$A:$I,2,0),"")</f>
        <v/>
      </c>
      <c r="C484" s="34" t="str">
        <f>IFERROR(VLOOKUP(A484,庫存!$A:$I,3,0),"")</f>
        <v/>
      </c>
      <c r="D484" s="54"/>
      <c r="E484" s="35" t="str">
        <f t="shared" si="14"/>
        <v/>
      </c>
      <c r="F484" s="45" t="str">
        <f>IFERROR(VLOOKUP(A484,庫存!$A:$I,4,0),"0")</f>
        <v>0</v>
      </c>
      <c r="G484" s="43" t="str">
        <f t="shared" si="15"/>
        <v/>
      </c>
      <c r="H484" s="24" t="str">
        <f>IFERROR(VLOOKUP(A484,庫存!$A:$I,8,0),"")</f>
        <v/>
      </c>
      <c r="I484" s="24" t="str">
        <f>IFERROR(VLOOKUP(A484,庫存!$A:$I,9,0),"")</f>
        <v/>
      </c>
    </row>
    <row r="485" spans="1:9" ht="23" customHeight="1" x14ac:dyDescent="0.35">
      <c r="A485" s="57"/>
      <c r="B485" s="34" t="str">
        <f>IFERROR(VLOOKUP(A485,庫存!$A:$I,2,0),"")</f>
        <v/>
      </c>
      <c r="C485" s="34" t="str">
        <f>IFERROR(VLOOKUP(A485,庫存!$A:$I,3,0),"")</f>
        <v/>
      </c>
      <c r="D485" s="54"/>
      <c r="E485" s="35" t="str">
        <f t="shared" si="14"/>
        <v/>
      </c>
      <c r="F485" s="45" t="str">
        <f>IFERROR(VLOOKUP(A485,庫存!$A:$I,4,0),"0")</f>
        <v>0</v>
      </c>
      <c r="G485" s="43" t="str">
        <f t="shared" si="15"/>
        <v/>
      </c>
      <c r="H485" s="24" t="str">
        <f>IFERROR(VLOOKUP(A485,庫存!$A:$I,8,0),"")</f>
        <v/>
      </c>
      <c r="I485" s="24" t="str">
        <f>IFERROR(VLOOKUP(A485,庫存!$A:$I,9,0),"")</f>
        <v/>
      </c>
    </row>
    <row r="486" spans="1:9" ht="23" customHeight="1" x14ac:dyDescent="0.35">
      <c r="A486" s="57"/>
      <c r="B486" s="34" t="str">
        <f>IFERROR(VLOOKUP(A486,庫存!$A:$I,2,0),"")</f>
        <v/>
      </c>
      <c r="C486" s="34" t="str">
        <f>IFERROR(VLOOKUP(A486,庫存!$A:$I,3,0),"")</f>
        <v/>
      </c>
      <c r="D486" s="54"/>
      <c r="E486" s="35" t="str">
        <f t="shared" si="14"/>
        <v/>
      </c>
      <c r="F486" s="45" t="str">
        <f>IFERROR(VLOOKUP(A486,庫存!$A:$I,4,0),"0")</f>
        <v>0</v>
      </c>
      <c r="G486" s="43" t="str">
        <f t="shared" si="15"/>
        <v/>
      </c>
      <c r="H486" s="24" t="str">
        <f>IFERROR(VLOOKUP(A486,庫存!$A:$I,8,0),"")</f>
        <v/>
      </c>
      <c r="I486" s="24" t="str">
        <f>IFERROR(VLOOKUP(A486,庫存!$A:$I,9,0),"")</f>
        <v/>
      </c>
    </row>
    <row r="487" spans="1:9" ht="23" customHeight="1" x14ac:dyDescent="0.35">
      <c r="A487" s="57"/>
      <c r="B487" s="34" t="str">
        <f>IFERROR(VLOOKUP(A487,庫存!$A:$I,2,0),"")</f>
        <v/>
      </c>
      <c r="C487" s="34" t="str">
        <f>IFERROR(VLOOKUP(A487,庫存!$A:$I,3,0),"")</f>
        <v/>
      </c>
      <c r="D487" s="54"/>
      <c r="E487" s="35" t="str">
        <f t="shared" si="14"/>
        <v/>
      </c>
      <c r="F487" s="45" t="str">
        <f>IFERROR(VLOOKUP(A487,庫存!$A:$I,4,0),"0")</f>
        <v>0</v>
      </c>
      <c r="G487" s="43" t="str">
        <f t="shared" si="15"/>
        <v/>
      </c>
      <c r="H487" s="24" t="str">
        <f>IFERROR(VLOOKUP(A487,庫存!$A:$I,8,0),"")</f>
        <v/>
      </c>
      <c r="I487" s="24" t="str">
        <f>IFERROR(VLOOKUP(A487,庫存!$A:$I,9,0),"")</f>
        <v/>
      </c>
    </row>
    <row r="488" spans="1:9" ht="23" customHeight="1" x14ac:dyDescent="0.35">
      <c r="A488" s="57"/>
      <c r="B488" s="34" t="str">
        <f>IFERROR(VLOOKUP(A488,庫存!$A:$I,2,0),"")</f>
        <v/>
      </c>
      <c r="C488" s="34" t="str">
        <f>IFERROR(VLOOKUP(A488,庫存!$A:$I,3,0),"")</f>
        <v/>
      </c>
      <c r="D488" s="54"/>
      <c r="E488" s="35" t="str">
        <f t="shared" si="14"/>
        <v/>
      </c>
      <c r="F488" s="45" t="str">
        <f>IFERROR(VLOOKUP(A488,庫存!$A:$I,4,0),"0")</f>
        <v>0</v>
      </c>
      <c r="G488" s="43" t="str">
        <f t="shared" si="15"/>
        <v/>
      </c>
      <c r="H488" s="24" t="str">
        <f>IFERROR(VLOOKUP(A488,庫存!$A:$I,8,0),"")</f>
        <v/>
      </c>
      <c r="I488" s="24" t="str">
        <f>IFERROR(VLOOKUP(A488,庫存!$A:$I,9,0),"")</f>
        <v/>
      </c>
    </row>
    <row r="489" spans="1:9" ht="23" customHeight="1" x14ac:dyDescent="0.35">
      <c r="A489" s="57"/>
      <c r="B489" s="34" t="str">
        <f>IFERROR(VLOOKUP(A489,庫存!$A:$I,2,0),"")</f>
        <v/>
      </c>
      <c r="C489" s="34" t="str">
        <f>IFERROR(VLOOKUP(A489,庫存!$A:$I,3,0),"")</f>
        <v/>
      </c>
      <c r="D489" s="54"/>
      <c r="E489" s="35" t="str">
        <f t="shared" si="14"/>
        <v/>
      </c>
      <c r="F489" s="45" t="str">
        <f>IFERROR(VLOOKUP(A489,庫存!$A:$I,4,0),"0")</f>
        <v>0</v>
      </c>
      <c r="G489" s="43" t="str">
        <f t="shared" si="15"/>
        <v/>
      </c>
      <c r="H489" s="24" t="str">
        <f>IFERROR(VLOOKUP(A489,庫存!$A:$I,8,0),"")</f>
        <v/>
      </c>
      <c r="I489" s="24" t="str">
        <f>IFERROR(VLOOKUP(A489,庫存!$A:$I,9,0),"")</f>
        <v/>
      </c>
    </row>
    <row r="490" spans="1:9" ht="23" customHeight="1" x14ac:dyDescent="0.35">
      <c r="A490" s="57"/>
      <c r="B490" s="34" t="str">
        <f>IFERROR(VLOOKUP(A490,庫存!$A:$I,2,0),"")</f>
        <v/>
      </c>
      <c r="C490" s="34" t="str">
        <f>IFERROR(VLOOKUP(A490,庫存!$A:$I,3,0),"")</f>
        <v/>
      </c>
      <c r="D490" s="54"/>
      <c r="E490" s="35" t="str">
        <f t="shared" si="14"/>
        <v/>
      </c>
      <c r="F490" s="45" t="str">
        <f>IFERROR(VLOOKUP(A490,庫存!$A:$I,4,0),"0")</f>
        <v>0</v>
      </c>
      <c r="G490" s="43" t="str">
        <f t="shared" si="15"/>
        <v/>
      </c>
      <c r="H490" s="24" t="str">
        <f>IFERROR(VLOOKUP(A490,庫存!$A:$I,8,0),"")</f>
        <v/>
      </c>
      <c r="I490" s="24" t="str">
        <f>IFERROR(VLOOKUP(A490,庫存!$A:$I,9,0),"")</f>
        <v/>
      </c>
    </row>
    <row r="491" spans="1:9" ht="23" customHeight="1" x14ac:dyDescent="0.35">
      <c r="A491" s="57"/>
      <c r="B491" s="34" t="str">
        <f>IFERROR(VLOOKUP(A491,庫存!$A:$I,2,0),"")</f>
        <v/>
      </c>
      <c r="C491" s="34" t="str">
        <f>IFERROR(VLOOKUP(A491,庫存!$A:$I,3,0),"")</f>
        <v/>
      </c>
      <c r="D491" s="54"/>
      <c r="E491" s="35" t="str">
        <f t="shared" si="14"/>
        <v/>
      </c>
      <c r="F491" s="45" t="str">
        <f>IFERROR(VLOOKUP(A491,庫存!$A:$I,4,0),"0")</f>
        <v>0</v>
      </c>
      <c r="G491" s="43" t="str">
        <f t="shared" si="15"/>
        <v/>
      </c>
      <c r="H491" s="24" t="str">
        <f>IFERROR(VLOOKUP(A491,庫存!$A:$I,8,0),"")</f>
        <v/>
      </c>
      <c r="I491" s="24" t="str">
        <f>IFERROR(VLOOKUP(A491,庫存!$A:$I,9,0),"")</f>
        <v/>
      </c>
    </row>
    <row r="492" spans="1:9" ht="23" customHeight="1" x14ac:dyDescent="0.35">
      <c r="A492" s="57"/>
      <c r="B492" s="34" t="str">
        <f>IFERROR(VLOOKUP(A492,庫存!$A:$I,2,0),"")</f>
        <v/>
      </c>
      <c r="C492" s="34" t="str">
        <f>IFERROR(VLOOKUP(A492,庫存!$A:$I,3,0),"")</f>
        <v/>
      </c>
      <c r="D492" s="54"/>
      <c r="E492" s="35" t="str">
        <f t="shared" si="14"/>
        <v/>
      </c>
      <c r="F492" s="45" t="str">
        <f>IFERROR(VLOOKUP(A492,庫存!$A:$I,4,0),"0")</f>
        <v>0</v>
      </c>
      <c r="G492" s="43" t="str">
        <f t="shared" si="15"/>
        <v/>
      </c>
      <c r="H492" s="24" t="str">
        <f>IFERROR(VLOOKUP(A492,庫存!$A:$I,8,0),"")</f>
        <v/>
      </c>
      <c r="I492" s="24" t="str">
        <f>IFERROR(VLOOKUP(A492,庫存!$A:$I,9,0),"")</f>
        <v/>
      </c>
    </row>
    <row r="493" spans="1:9" ht="23" customHeight="1" x14ac:dyDescent="0.35">
      <c r="A493" s="57"/>
      <c r="B493" s="34" t="str">
        <f>IFERROR(VLOOKUP(A493,庫存!$A:$I,2,0),"")</f>
        <v/>
      </c>
      <c r="C493" s="34" t="str">
        <f>IFERROR(VLOOKUP(A493,庫存!$A:$I,3,0),"")</f>
        <v/>
      </c>
      <c r="D493" s="54"/>
      <c r="E493" s="35" t="str">
        <f t="shared" si="14"/>
        <v/>
      </c>
      <c r="F493" s="45" t="str">
        <f>IFERROR(VLOOKUP(A493,庫存!$A:$I,4,0),"0")</f>
        <v>0</v>
      </c>
      <c r="G493" s="43" t="str">
        <f t="shared" si="15"/>
        <v/>
      </c>
      <c r="H493" s="24" t="str">
        <f>IFERROR(VLOOKUP(A493,庫存!$A:$I,8,0),"")</f>
        <v/>
      </c>
      <c r="I493" s="24" t="str">
        <f>IFERROR(VLOOKUP(A493,庫存!$A:$I,9,0),"")</f>
        <v/>
      </c>
    </row>
    <row r="494" spans="1:9" ht="23" customHeight="1" x14ac:dyDescent="0.35">
      <c r="A494" s="57"/>
      <c r="B494" s="34" t="str">
        <f>IFERROR(VLOOKUP(A494,庫存!$A:$I,2,0),"")</f>
        <v/>
      </c>
      <c r="C494" s="34" t="str">
        <f>IFERROR(VLOOKUP(A494,庫存!$A:$I,3,0),"")</f>
        <v/>
      </c>
      <c r="D494" s="54"/>
      <c r="E494" s="35" t="str">
        <f t="shared" si="14"/>
        <v/>
      </c>
      <c r="F494" s="45" t="str">
        <f>IFERROR(VLOOKUP(A494,庫存!$A:$I,4,0),"0")</f>
        <v>0</v>
      </c>
      <c r="G494" s="43" t="str">
        <f t="shared" si="15"/>
        <v/>
      </c>
      <c r="H494" s="24" t="str">
        <f>IFERROR(VLOOKUP(A494,庫存!$A:$I,8,0),"")</f>
        <v/>
      </c>
      <c r="I494" s="24" t="str">
        <f>IFERROR(VLOOKUP(A494,庫存!$A:$I,9,0),"")</f>
        <v/>
      </c>
    </row>
    <row r="495" spans="1:9" ht="23" customHeight="1" x14ac:dyDescent="0.35">
      <c r="A495" s="57"/>
      <c r="B495" s="34" t="str">
        <f>IFERROR(VLOOKUP(A495,庫存!$A:$I,2,0),"")</f>
        <v/>
      </c>
      <c r="C495" s="34" t="str">
        <f>IFERROR(VLOOKUP(A495,庫存!$A:$I,3,0),"")</f>
        <v/>
      </c>
      <c r="D495" s="54"/>
      <c r="E495" s="35" t="str">
        <f t="shared" si="14"/>
        <v/>
      </c>
      <c r="F495" s="45" t="str">
        <f>IFERROR(VLOOKUP(A495,庫存!$A:$I,4,0),"0")</f>
        <v>0</v>
      </c>
      <c r="G495" s="43" t="str">
        <f t="shared" si="15"/>
        <v/>
      </c>
      <c r="H495" s="24" t="str">
        <f>IFERROR(VLOOKUP(A495,庫存!$A:$I,8,0),"")</f>
        <v/>
      </c>
      <c r="I495" s="24" t="str">
        <f>IFERROR(VLOOKUP(A495,庫存!$A:$I,9,0),"")</f>
        <v/>
      </c>
    </row>
    <row r="496" spans="1:9" ht="23" customHeight="1" x14ac:dyDescent="0.35">
      <c r="A496" s="57"/>
      <c r="B496" s="34" t="str">
        <f>IFERROR(VLOOKUP(A496,庫存!$A:$I,2,0),"")</f>
        <v/>
      </c>
      <c r="C496" s="34" t="str">
        <f>IFERROR(VLOOKUP(A496,庫存!$A:$I,3,0),"")</f>
        <v/>
      </c>
      <c r="D496" s="54"/>
      <c r="E496" s="35" t="str">
        <f t="shared" si="14"/>
        <v/>
      </c>
      <c r="F496" s="45" t="str">
        <f>IFERROR(VLOOKUP(A496,庫存!$A:$I,4,0),"0")</f>
        <v>0</v>
      </c>
      <c r="G496" s="43" t="str">
        <f t="shared" si="15"/>
        <v/>
      </c>
      <c r="H496" s="24" t="str">
        <f>IFERROR(VLOOKUP(A496,庫存!$A:$I,8,0),"")</f>
        <v/>
      </c>
      <c r="I496" s="24" t="str">
        <f>IFERROR(VLOOKUP(A496,庫存!$A:$I,9,0),"")</f>
        <v/>
      </c>
    </row>
    <row r="497" spans="1:9" ht="23" customHeight="1" x14ac:dyDescent="0.35">
      <c r="A497" s="57"/>
      <c r="B497" s="34" t="str">
        <f>IFERROR(VLOOKUP(A497,庫存!$A:$I,2,0),"")</f>
        <v/>
      </c>
      <c r="C497" s="34" t="str">
        <f>IFERROR(VLOOKUP(A497,庫存!$A:$I,3,0),"")</f>
        <v/>
      </c>
      <c r="D497" s="54"/>
      <c r="E497" s="35" t="str">
        <f t="shared" si="14"/>
        <v/>
      </c>
      <c r="F497" s="45" t="str">
        <f>IFERROR(VLOOKUP(A497,庫存!$A:$I,4,0),"0")</f>
        <v>0</v>
      </c>
      <c r="G497" s="43" t="str">
        <f t="shared" si="15"/>
        <v/>
      </c>
      <c r="H497" s="24" t="str">
        <f>IFERROR(VLOOKUP(A497,庫存!$A:$I,8,0),"")</f>
        <v/>
      </c>
      <c r="I497" s="24" t="str">
        <f>IFERROR(VLOOKUP(A497,庫存!$A:$I,9,0),"")</f>
        <v/>
      </c>
    </row>
    <row r="498" spans="1:9" ht="23" customHeight="1" x14ac:dyDescent="0.35">
      <c r="A498" s="57"/>
      <c r="B498" s="34" t="str">
        <f>IFERROR(VLOOKUP(A498,庫存!$A:$I,2,0),"")</f>
        <v/>
      </c>
      <c r="C498" s="34" t="str">
        <f>IFERROR(VLOOKUP(A498,庫存!$A:$I,3,0),"")</f>
        <v/>
      </c>
      <c r="D498" s="54"/>
      <c r="E498" s="35" t="str">
        <f t="shared" si="14"/>
        <v/>
      </c>
      <c r="F498" s="45" t="str">
        <f>IFERROR(VLOOKUP(A498,庫存!$A:$I,4,0),"0")</f>
        <v>0</v>
      </c>
      <c r="G498" s="43" t="str">
        <f t="shared" si="15"/>
        <v/>
      </c>
      <c r="H498" s="24" t="str">
        <f>IFERROR(VLOOKUP(A498,庫存!$A:$I,8,0),"")</f>
        <v/>
      </c>
      <c r="I498" s="24" t="str">
        <f>IFERROR(VLOOKUP(A498,庫存!$A:$I,9,0),"")</f>
        <v/>
      </c>
    </row>
    <row r="499" spans="1:9" ht="23" customHeight="1" x14ac:dyDescent="0.35">
      <c r="A499" s="57"/>
      <c r="B499" s="34" t="str">
        <f>IFERROR(VLOOKUP(A499,庫存!$A:$I,2,0),"")</f>
        <v/>
      </c>
      <c r="C499" s="34" t="str">
        <f>IFERROR(VLOOKUP(A499,庫存!$A:$I,3,0),"")</f>
        <v/>
      </c>
      <c r="D499" s="54"/>
      <c r="E499" s="35" t="str">
        <f t="shared" si="14"/>
        <v/>
      </c>
      <c r="F499" s="45" t="str">
        <f>IFERROR(VLOOKUP(A499,庫存!$A:$I,4,0),"0")</f>
        <v>0</v>
      </c>
      <c r="G499" s="43" t="str">
        <f t="shared" si="15"/>
        <v/>
      </c>
      <c r="H499" s="24" t="str">
        <f>IFERROR(VLOOKUP(A499,庫存!$A:$I,8,0),"")</f>
        <v/>
      </c>
      <c r="I499" s="24" t="str">
        <f>IFERROR(VLOOKUP(A499,庫存!$A:$I,9,0),"")</f>
        <v/>
      </c>
    </row>
    <row r="500" spans="1:9" ht="23" customHeight="1" x14ac:dyDescent="0.35">
      <c r="A500" s="57"/>
      <c r="B500" s="34" t="str">
        <f>IFERROR(VLOOKUP(A500,庫存!$A:$I,2,0),"")</f>
        <v/>
      </c>
      <c r="C500" s="34" t="str">
        <f>IFERROR(VLOOKUP(A500,庫存!$A:$I,3,0),"")</f>
        <v/>
      </c>
      <c r="D500" s="54"/>
      <c r="E500" s="35" t="str">
        <f t="shared" si="14"/>
        <v/>
      </c>
      <c r="F500" s="45" t="str">
        <f>IFERROR(VLOOKUP(A500,庫存!$A:$I,4,0),"0")</f>
        <v>0</v>
      </c>
      <c r="G500" s="43" t="str">
        <f t="shared" si="15"/>
        <v/>
      </c>
      <c r="H500" s="24" t="str">
        <f>IFERROR(VLOOKUP(A500,庫存!$A:$I,8,0),"")</f>
        <v/>
      </c>
      <c r="I500" s="24" t="str">
        <f>IFERROR(VLOOKUP(A500,庫存!$A:$I,9,0),"")</f>
        <v/>
      </c>
    </row>
    <row r="501" spans="1:9" ht="23" customHeight="1" x14ac:dyDescent="0.35">
      <c r="A501" s="57"/>
      <c r="B501" s="34" t="str">
        <f>IFERROR(VLOOKUP(A501,庫存!$A:$I,2,0),"")</f>
        <v/>
      </c>
      <c r="C501" s="34" t="str">
        <f>IFERROR(VLOOKUP(A501,庫存!$A:$I,3,0),"")</f>
        <v/>
      </c>
      <c r="D501" s="54"/>
      <c r="E501" s="35" t="str">
        <f t="shared" si="14"/>
        <v/>
      </c>
      <c r="F501" s="45" t="str">
        <f>IFERROR(VLOOKUP(A501,庫存!$A:$I,4,0),"0")</f>
        <v>0</v>
      </c>
      <c r="G501" s="43" t="str">
        <f t="shared" si="15"/>
        <v/>
      </c>
      <c r="H501" s="24" t="str">
        <f>IFERROR(VLOOKUP(A501,庫存!$A:$I,8,0),"")</f>
        <v/>
      </c>
      <c r="I501" s="24" t="str">
        <f>IFERROR(VLOOKUP(A501,庫存!$A:$I,9,0),"")</f>
        <v/>
      </c>
    </row>
    <row r="502" spans="1:9" ht="23" customHeight="1" x14ac:dyDescent="0.35">
      <c r="A502" s="57"/>
      <c r="B502" s="34" t="str">
        <f>IFERROR(VLOOKUP(A502,庫存!$A:$I,2,0),"")</f>
        <v/>
      </c>
      <c r="C502" s="34" t="str">
        <f>IFERROR(VLOOKUP(A502,庫存!$A:$I,3,0),"")</f>
        <v/>
      </c>
      <c r="D502" s="54"/>
      <c r="E502" s="35" t="str">
        <f t="shared" si="14"/>
        <v/>
      </c>
      <c r="F502" s="45" t="str">
        <f>IFERROR(VLOOKUP(A502,庫存!$A:$I,4,0),"0")</f>
        <v>0</v>
      </c>
      <c r="G502" s="43" t="str">
        <f t="shared" si="15"/>
        <v/>
      </c>
      <c r="H502" s="24" t="str">
        <f>IFERROR(VLOOKUP(A502,庫存!$A:$I,8,0),"")</f>
        <v/>
      </c>
      <c r="I502" s="24" t="str">
        <f>IFERROR(VLOOKUP(A502,庫存!$A:$I,9,0),"")</f>
        <v/>
      </c>
    </row>
    <row r="503" spans="1:9" ht="23" customHeight="1" x14ac:dyDescent="0.35">
      <c r="A503" s="57"/>
      <c r="B503" s="34" t="str">
        <f>IFERROR(VLOOKUP(A503,庫存!$A:$I,2,0),"")</f>
        <v/>
      </c>
      <c r="C503" s="34" t="str">
        <f>IFERROR(VLOOKUP(A503,庫存!$A:$I,3,0),"")</f>
        <v/>
      </c>
      <c r="D503" s="54"/>
      <c r="E503" s="35" t="str">
        <f t="shared" si="14"/>
        <v/>
      </c>
      <c r="F503" s="45" t="str">
        <f>IFERROR(VLOOKUP(A503,庫存!$A:$I,4,0),"0")</f>
        <v>0</v>
      </c>
      <c r="G503" s="43" t="str">
        <f t="shared" si="15"/>
        <v/>
      </c>
      <c r="H503" s="24" t="str">
        <f>IFERROR(VLOOKUP(A503,庫存!$A:$I,8,0),"")</f>
        <v/>
      </c>
      <c r="I503" s="24" t="str">
        <f>IFERROR(VLOOKUP(A503,庫存!$A:$I,9,0),"")</f>
        <v/>
      </c>
    </row>
    <row r="504" spans="1:9" ht="23" customHeight="1" x14ac:dyDescent="0.35">
      <c r="A504" s="57"/>
      <c r="B504" s="34" t="str">
        <f>IFERROR(VLOOKUP(A504,庫存!$A:$I,2,0),"")</f>
        <v/>
      </c>
      <c r="C504" s="34" t="str">
        <f>IFERROR(VLOOKUP(A504,庫存!$A:$I,3,0),"")</f>
        <v/>
      </c>
      <c r="D504" s="54"/>
      <c r="E504" s="35" t="str">
        <f t="shared" si="14"/>
        <v/>
      </c>
      <c r="F504" s="45" t="str">
        <f>IFERROR(VLOOKUP(A504,庫存!$A:$I,4,0),"0")</f>
        <v>0</v>
      </c>
      <c r="G504" s="43" t="str">
        <f t="shared" si="15"/>
        <v/>
      </c>
      <c r="H504" s="24" t="str">
        <f>IFERROR(VLOOKUP(A504,庫存!$A:$I,8,0),"")</f>
        <v/>
      </c>
      <c r="I504" s="24" t="str">
        <f>IFERROR(VLOOKUP(A504,庫存!$A:$I,9,0),"")</f>
        <v/>
      </c>
    </row>
    <row r="505" spans="1:9" ht="23" customHeight="1" x14ac:dyDescent="0.35">
      <c r="A505" s="57"/>
      <c r="B505" s="34" t="str">
        <f>IFERROR(VLOOKUP(A505,庫存!$A:$I,2,0),"")</f>
        <v/>
      </c>
      <c r="C505" s="34" t="str">
        <f>IFERROR(VLOOKUP(A505,庫存!$A:$I,3,0),"")</f>
        <v/>
      </c>
      <c r="D505" s="54"/>
      <c r="E505" s="35" t="str">
        <f t="shared" si="14"/>
        <v/>
      </c>
      <c r="F505" s="45" t="str">
        <f>IFERROR(VLOOKUP(A505,庫存!$A:$I,4,0),"0")</f>
        <v>0</v>
      </c>
      <c r="G505" s="43" t="str">
        <f t="shared" si="15"/>
        <v/>
      </c>
      <c r="H505" s="24" t="str">
        <f>IFERROR(VLOOKUP(A505,庫存!$A:$I,8,0),"")</f>
        <v/>
      </c>
      <c r="I505" s="24" t="str">
        <f>IFERROR(VLOOKUP(A505,庫存!$A:$I,9,0),"")</f>
        <v/>
      </c>
    </row>
    <row r="506" spans="1:9" ht="23" customHeight="1" x14ac:dyDescent="0.35">
      <c r="A506" s="57"/>
      <c r="B506" s="34" t="str">
        <f>IFERROR(VLOOKUP(A506,庫存!$A:$I,2,0),"")</f>
        <v/>
      </c>
      <c r="C506" s="34" t="str">
        <f>IFERROR(VLOOKUP(A506,庫存!$A:$I,3,0),"")</f>
        <v/>
      </c>
      <c r="D506" s="54"/>
      <c r="E506" s="35" t="str">
        <f t="shared" si="14"/>
        <v/>
      </c>
      <c r="F506" s="45" t="str">
        <f>IFERROR(VLOOKUP(A506,庫存!$A:$I,4,0),"0")</f>
        <v>0</v>
      </c>
      <c r="G506" s="43" t="str">
        <f t="shared" si="15"/>
        <v/>
      </c>
      <c r="H506" s="24" t="str">
        <f>IFERROR(VLOOKUP(A506,庫存!$A:$I,8,0),"")</f>
        <v/>
      </c>
      <c r="I506" s="24" t="str">
        <f>IFERROR(VLOOKUP(A506,庫存!$A:$I,9,0),"")</f>
        <v/>
      </c>
    </row>
    <row r="507" spans="1:9" ht="23" customHeight="1" x14ac:dyDescent="0.35">
      <c r="A507" s="57"/>
      <c r="B507" s="34" t="str">
        <f>IFERROR(VLOOKUP(A507,庫存!$A:$I,2,0),"")</f>
        <v/>
      </c>
      <c r="C507" s="34" t="str">
        <f>IFERROR(VLOOKUP(A507,庫存!$A:$I,3,0),"")</f>
        <v/>
      </c>
      <c r="D507" s="54"/>
      <c r="E507" s="35" t="str">
        <f t="shared" si="14"/>
        <v/>
      </c>
      <c r="F507" s="45" t="str">
        <f>IFERROR(VLOOKUP(A507,庫存!$A:$I,4,0),"0")</f>
        <v>0</v>
      </c>
      <c r="G507" s="43" t="str">
        <f t="shared" si="15"/>
        <v/>
      </c>
      <c r="H507" s="24" t="str">
        <f>IFERROR(VLOOKUP(A507,庫存!$A:$I,8,0),"")</f>
        <v/>
      </c>
      <c r="I507" s="24" t="str">
        <f>IFERROR(VLOOKUP(A507,庫存!$A:$I,9,0),"")</f>
        <v/>
      </c>
    </row>
    <row r="508" spans="1:9" ht="23" customHeight="1" x14ac:dyDescent="0.35">
      <c r="A508" s="57"/>
      <c r="B508" s="34" t="str">
        <f>IFERROR(VLOOKUP(A508,庫存!$A:$I,2,0),"")</f>
        <v/>
      </c>
      <c r="C508" s="34" t="str">
        <f>IFERROR(VLOOKUP(A508,庫存!$A:$I,3,0),"")</f>
        <v/>
      </c>
      <c r="D508" s="54"/>
      <c r="E508" s="35" t="str">
        <f t="shared" si="14"/>
        <v/>
      </c>
      <c r="F508" s="45" t="str">
        <f>IFERROR(VLOOKUP(A508,庫存!$A:$I,4,0),"0")</f>
        <v>0</v>
      </c>
      <c r="G508" s="43" t="str">
        <f t="shared" si="15"/>
        <v/>
      </c>
      <c r="H508" s="24" t="str">
        <f>IFERROR(VLOOKUP(A508,庫存!$A:$I,8,0),"")</f>
        <v/>
      </c>
      <c r="I508" s="24" t="str">
        <f>IFERROR(VLOOKUP(A508,庫存!$A:$I,9,0),"")</f>
        <v/>
      </c>
    </row>
    <row r="509" spans="1:9" ht="23" customHeight="1" x14ac:dyDescent="0.35">
      <c r="A509" s="57"/>
      <c r="B509" s="34" t="str">
        <f>IFERROR(VLOOKUP(A509,庫存!$A:$I,2,0),"")</f>
        <v/>
      </c>
      <c r="C509" s="34" t="str">
        <f>IFERROR(VLOOKUP(A509,庫存!$A:$I,3,0),"")</f>
        <v/>
      </c>
      <c r="D509" s="54"/>
      <c r="E509" s="35" t="str">
        <f t="shared" si="14"/>
        <v/>
      </c>
      <c r="F509" s="45" t="str">
        <f>IFERROR(VLOOKUP(A509,庫存!$A:$I,4,0),"0")</f>
        <v>0</v>
      </c>
      <c r="G509" s="43" t="str">
        <f t="shared" si="15"/>
        <v/>
      </c>
      <c r="H509" s="24" t="str">
        <f>IFERROR(VLOOKUP(A509,庫存!$A:$I,8,0),"")</f>
        <v/>
      </c>
      <c r="I509" s="24" t="str">
        <f>IFERROR(VLOOKUP(A509,庫存!$A:$I,9,0),"")</f>
        <v/>
      </c>
    </row>
    <row r="510" spans="1:9" ht="23" customHeight="1" x14ac:dyDescent="0.35">
      <c r="A510" s="57"/>
      <c r="B510" s="34" t="str">
        <f>IFERROR(VLOOKUP(A510,庫存!$A:$I,2,0),"")</f>
        <v/>
      </c>
      <c r="C510" s="34" t="str">
        <f>IFERROR(VLOOKUP(A510,庫存!$A:$I,3,0),"")</f>
        <v/>
      </c>
      <c r="D510" s="54"/>
      <c r="E510" s="35" t="str">
        <f t="shared" si="14"/>
        <v/>
      </c>
      <c r="F510" s="45" t="str">
        <f>IFERROR(VLOOKUP(A510,庫存!$A:$I,4,0),"0")</f>
        <v>0</v>
      </c>
      <c r="G510" s="43" t="str">
        <f t="shared" si="15"/>
        <v/>
      </c>
      <c r="H510" s="24" t="str">
        <f>IFERROR(VLOOKUP(A510,庫存!$A:$I,8,0),"")</f>
        <v/>
      </c>
      <c r="I510" s="24" t="str">
        <f>IFERROR(VLOOKUP(A510,庫存!$A:$I,9,0),"")</f>
        <v/>
      </c>
    </row>
    <row r="511" spans="1:9" ht="23" customHeight="1" x14ac:dyDescent="0.35">
      <c r="A511" s="57"/>
      <c r="B511" s="34" t="str">
        <f>IFERROR(VLOOKUP(A511,庫存!$A:$I,2,0),"")</f>
        <v/>
      </c>
      <c r="C511" s="34" t="str">
        <f>IFERROR(VLOOKUP(A511,庫存!$A:$I,3,0),"")</f>
        <v/>
      </c>
      <c r="D511" s="54"/>
      <c r="E511" s="35" t="str">
        <f t="shared" si="14"/>
        <v/>
      </c>
      <c r="F511" s="45" t="str">
        <f>IFERROR(VLOOKUP(A511,庫存!$A:$I,4,0),"0")</f>
        <v>0</v>
      </c>
      <c r="G511" s="43" t="str">
        <f t="shared" si="15"/>
        <v/>
      </c>
      <c r="H511" s="24" t="str">
        <f>IFERROR(VLOOKUP(A511,庫存!$A:$I,8,0),"")</f>
        <v/>
      </c>
      <c r="I511" s="24" t="str">
        <f>IFERROR(VLOOKUP(A511,庫存!$A:$I,9,0),"")</f>
        <v/>
      </c>
    </row>
    <row r="512" spans="1:9" ht="23" customHeight="1" x14ac:dyDescent="0.35">
      <c r="A512" s="57"/>
      <c r="B512" s="34" t="str">
        <f>IFERROR(VLOOKUP(A512,庫存!$A:$I,2,0),"")</f>
        <v/>
      </c>
      <c r="C512" s="34" t="str">
        <f>IFERROR(VLOOKUP(A512,庫存!$A:$I,3,0),"")</f>
        <v/>
      </c>
      <c r="D512" s="54"/>
      <c r="E512" s="35" t="str">
        <f t="shared" si="14"/>
        <v/>
      </c>
      <c r="F512" s="45" t="str">
        <f>IFERROR(VLOOKUP(A512,庫存!$A:$I,4,0),"0")</f>
        <v>0</v>
      </c>
      <c r="G512" s="43" t="str">
        <f t="shared" si="15"/>
        <v/>
      </c>
      <c r="H512" s="24" t="str">
        <f>IFERROR(VLOOKUP(A512,庫存!$A:$I,8,0),"")</f>
        <v/>
      </c>
      <c r="I512" s="24" t="str">
        <f>IFERROR(VLOOKUP(A512,庫存!$A:$I,9,0),"")</f>
        <v/>
      </c>
    </row>
    <row r="513" spans="1:9" ht="23" customHeight="1" x14ac:dyDescent="0.35">
      <c r="A513" s="57"/>
      <c r="B513" s="34" t="str">
        <f>IFERROR(VLOOKUP(A513,庫存!$A:$I,2,0),"")</f>
        <v/>
      </c>
      <c r="C513" s="34" t="str">
        <f>IFERROR(VLOOKUP(A513,庫存!$A:$I,3,0),"")</f>
        <v/>
      </c>
      <c r="D513" s="54"/>
      <c r="E513" s="35" t="str">
        <f t="shared" si="14"/>
        <v/>
      </c>
      <c r="F513" s="45" t="str">
        <f>IFERROR(VLOOKUP(A513,庫存!$A:$I,4,0),"0")</f>
        <v>0</v>
      </c>
      <c r="G513" s="43" t="str">
        <f t="shared" si="15"/>
        <v/>
      </c>
      <c r="H513" s="24" t="str">
        <f>IFERROR(VLOOKUP(A513,庫存!$A:$I,8,0),"")</f>
        <v/>
      </c>
      <c r="I513" s="24" t="str">
        <f>IFERROR(VLOOKUP(A513,庫存!$A:$I,9,0),"")</f>
        <v/>
      </c>
    </row>
    <row r="514" spans="1:9" ht="23" customHeight="1" x14ac:dyDescent="0.35">
      <c r="A514" s="57"/>
      <c r="B514" s="34" t="str">
        <f>IFERROR(VLOOKUP(A514,庫存!$A:$I,2,0),"")</f>
        <v/>
      </c>
      <c r="C514" s="34" t="str">
        <f>IFERROR(VLOOKUP(A514,庫存!$A:$I,3,0),"")</f>
        <v/>
      </c>
      <c r="D514" s="54"/>
      <c r="E514" s="35" t="str">
        <f t="shared" ref="E514:E577" si="16">IF(D514*$E$1=0,"",D514*$E$1)</f>
        <v/>
      </c>
      <c r="F514" s="45" t="str">
        <f>IFERROR(VLOOKUP(A514,庫存!$A:$I,4,0),"0")</f>
        <v>0</v>
      </c>
      <c r="G514" s="43" t="str">
        <f t="shared" ref="G514:G577" si="17">IFERROR(F514-E514,"")</f>
        <v/>
      </c>
      <c r="H514" s="24" t="str">
        <f>IFERROR(VLOOKUP(A514,庫存!$A:$I,8,0),"")</f>
        <v/>
      </c>
      <c r="I514" s="24" t="str">
        <f>IFERROR(VLOOKUP(A514,庫存!$A:$I,9,0),"")</f>
        <v/>
      </c>
    </row>
    <row r="515" spans="1:9" ht="23" customHeight="1" x14ac:dyDescent="0.35">
      <c r="A515" s="57"/>
      <c r="B515" s="34" t="str">
        <f>IFERROR(VLOOKUP(A515,庫存!$A:$I,2,0),"")</f>
        <v/>
      </c>
      <c r="C515" s="34" t="str">
        <f>IFERROR(VLOOKUP(A515,庫存!$A:$I,3,0),"")</f>
        <v/>
      </c>
      <c r="D515" s="54"/>
      <c r="E515" s="35" t="str">
        <f t="shared" si="16"/>
        <v/>
      </c>
      <c r="F515" s="45" t="str">
        <f>IFERROR(VLOOKUP(A515,庫存!$A:$I,4,0),"0")</f>
        <v>0</v>
      </c>
      <c r="G515" s="43" t="str">
        <f t="shared" si="17"/>
        <v/>
      </c>
      <c r="H515" s="24" t="str">
        <f>IFERROR(VLOOKUP(A515,庫存!$A:$I,8,0),"")</f>
        <v/>
      </c>
      <c r="I515" s="24" t="str">
        <f>IFERROR(VLOOKUP(A515,庫存!$A:$I,9,0),"")</f>
        <v/>
      </c>
    </row>
    <row r="516" spans="1:9" ht="23" customHeight="1" x14ac:dyDescent="0.35">
      <c r="A516" s="57"/>
      <c r="B516" s="34" t="str">
        <f>IFERROR(VLOOKUP(A516,庫存!$A:$I,2,0),"")</f>
        <v/>
      </c>
      <c r="C516" s="34" t="str">
        <f>IFERROR(VLOOKUP(A516,庫存!$A:$I,3,0),"")</f>
        <v/>
      </c>
      <c r="D516" s="54"/>
      <c r="E516" s="35" t="str">
        <f t="shared" si="16"/>
        <v/>
      </c>
      <c r="F516" s="45" t="str">
        <f>IFERROR(VLOOKUP(A516,庫存!$A:$I,4,0),"0")</f>
        <v>0</v>
      </c>
      <c r="G516" s="43" t="str">
        <f t="shared" si="17"/>
        <v/>
      </c>
      <c r="H516" s="24" t="str">
        <f>IFERROR(VLOOKUP(A516,庫存!$A:$I,8,0),"")</f>
        <v/>
      </c>
      <c r="I516" s="24" t="str">
        <f>IFERROR(VLOOKUP(A516,庫存!$A:$I,9,0),"")</f>
        <v/>
      </c>
    </row>
    <row r="517" spans="1:9" ht="23" customHeight="1" x14ac:dyDescent="0.35">
      <c r="A517" s="57"/>
      <c r="B517" s="34" t="str">
        <f>IFERROR(VLOOKUP(A517,庫存!$A:$I,2,0),"")</f>
        <v/>
      </c>
      <c r="C517" s="34" t="str">
        <f>IFERROR(VLOOKUP(A517,庫存!$A:$I,3,0),"")</f>
        <v/>
      </c>
      <c r="D517" s="54"/>
      <c r="E517" s="35" t="str">
        <f t="shared" si="16"/>
        <v/>
      </c>
      <c r="F517" s="45" t="str">
        <f>IFERROR(VLOOKUP(A517,庫存!$A:$I,4,0),"0")</f>
        <v>0</v>
      </c>
      <c r="G517" s="43" t="str">
        <f t="shared" si="17"/>
        <v/>
      </c>
      <c r="H517" s="24" t="str">
        <f>IFERROR(VLOOKUP(A517,庫存!$A:$I,8,0),"")</f>
        <v/>
      </c>
      <c r="I517" s="24" t="str">
        <f>IFERROR(VLOOKUP(A517,庫存!$A:$I,9,0),"")</f>
        <v/>
      </c>
    </row>
    <row r="518" spans="1:9" ht="23" customHeight="1" x14ac:dyDescent="0.35">
      <c r="A518" s="57"/>
      <c r="B518" s="34" t="str">
        <f>IFERROR(VLOOKUP(A518,庫存!$A:$I,2,0),"")</f>
        <v/>
      </c>
      <c r="C518" s="34" t="str">
        <f>IFERROR(VLOOKUP(A518,庫存!$A:$I,3,0),"")</f>
        <v/>
      </c>
      <c r="D518" s="54"/>
      <c r="E518" s="35" t="str">
        <f t="shared" si="16"/>
        <v/>
      </c>
      <c r="F518" s="45" t="str">
        <f>IFERROR(VLOOKUP(A518,庫存!$A:$I,4,0),"0")</f>
        <v>0</v>
      </c>
      <c r="G518" s="43" t="str">
        <f t="shared" si="17"/>
        <v/>
      </c>
      <c r="H518" s="24" t="str">
        <f>IFERROR(VLOOKUP(A518,庫存!$A:$I,8,0),"")</f>
        <v/>
      </c>
      <c r="I518" s="24" t="str">
        <f>IFERROR(VLOOKUP(A518,庫存!$A:$I,9,0),"")</f>
        <v/>
      </c>
    </row>
    <row r="519" spans="1:9" ht="23" customHeight="1" x14ac:dyDescent="0.35">
      <c r="A519" s="57"/>
      <c r="B519" s="34" t="str">
        <f>IFERROR(VLOOKUP(A519,庫存!$A:$I,2,0),"")</f>
        <v/>
      </c>
      <c r="C519" s="34" t="str">
        <f>IFERROR(VLOOKUP(A519,庫存!$A:$I,3,0),"")</f>
        <v/>
      </c>
      <c r="D519" s="54"/>
      <c r="E519" s="35" t="str">
        <f t="shared" si="16"/>
        <v/>
      </c>
      <c r="F519" s="45" t="str">
        <f>IFERROR(VLOOKUP(A519,庫存!$A:$I,4,0),"0")</f>
        <v>0</v>
      </c>
      <c r="G519" s="43" t="str">
        <f t="shared" si="17"/>
        <v/>
      </c>
      <c r="H519" s="24" t="str">
        <f>IFERROR(VLOOKUP(A519,庫存!$A:$I,8,0),"")</f>
        <v/>
      </c>
      <c r="I519" s="24" t="str">
        <f>IFERROR(VLOOKUP(A519,庫存!$A:$I,9,0),"")</f>
        <v/>
      </c>
    </row>
    <row r="520" spans="1:9" ht="23" customHeight="1" x14ac:dyDescent="0.35">
      <c r="A520" s="57"/>
      <c r="B520" s="34" t="str">
        <f>IFERROR(VLOOKUP(A520,庫存!$A:$I,2,0),"")</f>
        <v/>
      </c>
      <c r="C520" s="34" t="str">
        <f>IFERROR(VLOOKUP(A520,庫存!$A:$I,3,0),"")</f>
        <v/>
      </c>
      <c r="D520" s="54"/>
      <c r="E520" s="35" t="str">
        <f t="shared" si="16"/>
        <v/>
      </c>
      <c r="F520" s="45" t="str">
        <f>IFERROR(VLOOKUP(A520,庫存!$A:$I,4,0),"0")</f>
        <v>0</v>
      </c>
      <c r="G520" s="43" t="str">
        <f t="shared" si="17"/>
        <v/>
      </c>
      <c r="H520" s="24" t="str">
        <f>IFERROR(VLOOKUP(A520,庫存!$A:$I,8,0),"")</f>
        <v/>
      </c>
      <c r="I520" s="24" t="str">
        <f>IFERROR(VLOOKUP(A520,庫存!$A:$I,9,0),"")</f>
        <v/>
      </c>
    </row>
    <row r="521" spans="1:9" ht="23" customHeight="1" x14ac:dyDescent="0.35">
      <c r="A521" s="57"/>
      <c r="B521" s="34" t="str">
        <f>IFERROR(VLOOKUP(A521,庫存!$A:$I,2,0),"")</f>
        <v/>
      </c>
      <c r="C521" s="34" t="str">
        <f>IFERROR(VLOOKUP(A521,庫存!$A:$I,3,0),"")</f>
        <v/>
      </c>
      <c r="D521" s="54"/>
      <c r="E521" s="35" t="str">
        <f t="shared" si="16"/>
        <v/>
      </c>
      <c r="F521" s="45" t="str">
        <f>IFERROR(VLOOKUP(A521,庫存!$A:$I,4,0),"0")</f>
        <v>0</v>
      </c>
      <c r="G521" s="43" t="str">
        <f t="shared" si="17"/>
        <v/>
      </c>
      <c r="H521" s="24" t="str">
        <f>IFERROR(VLOOKUP(A521,庫存!$A:$I,8,0),"")</f>
        <v/>
      </c>
      <c r="I521" s="24" t="str">
        <f>IFERROR(VLOOKUP(A521,庫存!$A:$I,9,0),"")</f>
        <v/>
      </c>
    </row>
    <row r="522" spans="1:9" ht="23" customHeight="1" x14ac:dyDescent="0.35">
      <c r="A522" s="57"/>
      <c r="B522" s="34" t="str">
        <f>IFERROR(VLOOKUP(A522,庫存!$A:$I,2,0),"")</f>
        <v/>
      </c>
      <c r="C522" s="34" t="str">
        <f>IFERROR(VLOOKUP(A522,庫存!$A:$I,3,0),"")</f>
        <v/>
      </c>
      <c r="D522" s="54"/>
      <c r="E522" s="35" t="str">
        <f t="shared" si="16"/>
        <v/>
      </c>
      <c r="F522" s="45" t="str">
        <f>IFERROR(VLOOKUP(A522,庫存!$A:$I,4,0),"0")</f>
        <v>0</v>
      </c>
      <c r="G522" s="43" t="str">
        <f t="shared" si="17"/>
        <v/>
      </c>
      <c r="H522" s="24" t="str">
        <f>IFERROR(VLOOKUP(A522,庫存!$A:$I,8,0),"")</f>
        <v/>
      </c>
      <c r="I522" s="24" t="str">
        <f>IFERROR(VLOOKUP(A522,庫存!$A:$I,9,0),"")</f>
        <v/>
      </c>
    </row>
    <row r="523" spans="1:9" ht="23" customHeight="1" x14ac:dyDescent="0.35">
      <c r="A523" s="57"/>
      <c r="B523" s="34" t="str">
        <f>IFERROR(VLOOKUP(A523,庫存!$A:$I,2,0),"")</f>
        <v/>
      </c>
      <c r="C523" s="34" t="str">
        <f>IFERROR(VLOOKUP(A523,庫存!$A:$I,3,0),"")</f>
        <v/>
      </c>
      <c r="D523" s="54"/>
      <c r="E523" s="35" t="str">
        <f t="shared" si="16"/>
        <v/>
      </c>
      <c r="F523" s="45" t="str">
        <f>IFERROR(VLOOKUP(A523,庫存!$A:$I,4,0),"0")</f>
        <v>0</v>
      </c>
      <c r="G523" s="43" t="str">
        <f t="shared" si="17"/>
        <v/>
      </c>
      <c r="H523" s="24" t="str">
        <f>IFERROR(VLOOKUP(A523,庫存!$A:$I,8,0),"")</f>
        <v/>
      </c>
      <c r="I523" s="24" t="str">
        <f>IFERROR(VLOOKUP(A523,庫存!$A:$I,9,0),"")</f>
        <v/>
      </c>
    </row>
    <row r="524" spans="1:9" ht="23" customHeight="1" x14ac:dyDescent="0.35">
      <c r="A524" s="57"/>
      <c r="B524" s="34" t="str">
        <f>IFERROR(VLOOKUP(A524,庫存!$A:$I,2,0),"")</f>
        <v/>
      </c>
      <c r="C524" s="34" t="str">
        <f>IFERROR(VLOOKUP(A524,庫存!$A:$I,3,0),"")</f>
        <v/>
      </c>
      <c r="D524" s="54"/>
      <c r="E524" s="35" t="str">
        <f t="shared" si="16"/>
        <v/>
      </c>
      <c r="F524" s="45" t="str">
        <f>IFERROR(VLOOKUP(A524,庫存!$A:$I,4,0),"0")</f>
        <v>0</v>
      </c>
      <c r="G524" s="43" t="str">
        <f t="shared" si="17"/>
        <v/>
      </c>
      <c r="H524" s="24" t="str">
        <f>IFERROR(VLOOKUP(A524,庫存!$A:$I,8,0),"")</f>
        <v/>
      </c>
      <c r="I524" s="24" t="str">
        <f>IFERROR(VLOOKUP(A524,庫存!$A:$I,9,0),"")</f>
        <v/>
      </c>
    </row>
    <row r="525" spans="1:9" ht="23" customHeight="1" x14ac:dyDescent="0.35">
      <c r="A525" s="57"/>
      <c r="B525" s="34" t="str">
        <f>IFERROR(VLOOKUP(A525,庫存!$A:$I,2,0),"")</f>
        <v/>
      </c>
      <c r="C525" s="34" t="str">
        <f>IFERROR(VLOOKUP(A525,庫存!$A:$I,3,0),"")</f>
        <v/>
      </c>
      <c r="D525" s="54"/>
      <c r="E525" s="35" t="str">
        <f t="shared" si="16"/>
        <v/>
      </c>
      <c r="F525" s="45" t="str">
        <f>IFERROR(VLOOKUP(A525,庫存!$A:$I,4,0),"0")</f>
        <v>0</v>
      </c>
      <c r="G525" s="43" t="str">
        <f t="shared" si="17"/>
        <v/>
      </c>
      <c r="H525" s="24" t="str">
        <f>IFERROR(VLOOKUP(A525,庫存!$A:$I,8,0),"")</f>
        <v/>
      </c>
      <c r="I525" s="24" t="str">
        <f>IFERROR(VLOOKUP(A525,庫存!$A:$I,9,0),"")</f>
        <v/>
      </c>
    </row>
    <row r="526" spans="1:9" ht="23" customHeight="1" x14ac:dyDescent="0.35">
      <c r="A526" s="57"/>
      <c r="B526" s="34" t="str">
        <f>IFERROR(VLOOKUP(A526,庫存!$A:$I,2,0),"")</f>
        <v/>
      </c>
      <c r="C526" s="34" t="str">
        <f>IFERROR(VLOOKUP(A526,庫存!$A:$I,3,0),"")</f>
        <v/>
      </c>
      <c r="D526" s="54"/>
      <c r="E526" s="35" t="str">
        <f t="shared" si="16"/>
        <v/>
      </c>
      <c r="F526" s="45" t="str">
        <f>IFERROR(VLOOKUP(A526,庫存!$A:$I,4,0),"0")</f>
        <v>0</v>
      </c>
      <c r="G526" s="43" t="str">
        <f t="shared" si="17"/>
        <v/>
      </c>
      <c r="H526" s="24" t="str">
        <f>IFERROR(VLOOKUP(A526,庫存!$A:$I,8,0),"")</f>
        <v/>
      </c>
      <c r="I526" s="24" t="str">
        <f>IFERROR(VLOOKUP(A526,庫存!$A:$I,9,0),"")</f>
        <v/>
      </c>
    </row>
    <row r="527" spans="1:9" ht="23" customHeight="1" x14ac:dyDescent="0.35">
      <c r="A527" s="57"/>
      <c r="B527" s="34" t="str">
        <f>IFERROR(VLOOKUP(A527,庫存!$A:$I,2,0),"")</f>
        <v/>
      </c>
      <c r="C527" s="34" t="str">
        <f>IFERROR(VLOOKUP(A527,庫存!$A:$I,3,0),"")</f>
        <v/>
      </c>
      <c r="D527" s="54"/>
      <c r="E527" s="35" t="str">
        <f t="shared" si="16"/>
        <v/>
      </c>
      <c r="F527" s="45" t="str">
        <f>IFERROR(VLOOKUP(A527,庫存!$A:$I,4,0),"0")</f>
        <v>0</v>
      </c>
      <c r="G527" s="43" t="str">
        <f t="shared" si="17"/>
        <v/>
      </c>
      <c r="H527" s="24" t="str">
        <f>IFERROR(VLOOKUP(A527,庫存!$A:$I,8,0),"")</f>
        <v/>
      </c>
      <c r="I527" s="24" t="str">
        <f>IFERROR(VLOOKUP(A527,庫存!$A:$I,9,0),"")</f>
        <v/>
      </c>
    </row>
    <row r="528" spans="1:9" ht="23" customHeight="1" x14ac:dyDescent="0.35">
      <c r="A528" s="57"/>
      <c r="B528" s="34" t="str">
        <f>IFERROR(VLOOKUP(A528,庫存!$A:$I,2,0),"")</f>
        <v/>
      </c>
      <c r="C528" s="34" t="str">
        <f>IFERROR(VLOOKUP(A528,庫存!$A:$I,3,0),"")</f>
        <v/>
      </c>
      <c r="D528" s="54"/>
      <c r="E528" s="35" t="str">
        <f t="shared" si="16"/>
        <v/>
      </c>
      <c r="F528" s="45" t="str">
        <f>IFERROR(VLOOKUP(A528,庫存!$A:$I,4,0),"0")</f>
        <v>0</v>
      </c>
      <c r="G528" s="43" t="str">
        <f t="shared" si="17"/>
        <v/>
      </c>
      <c r="H528" s="24" t="str">
        <f>IFERROR(VLOOKUP(A528,庫存!$A:$I,8,0),"")</f>
        <v/>
      </c>
      <c r="I528" s="24" t="str">
        <f>IFERROR(VLOOKUP(A528,庫存!$A:$I,9,0),"")</f>
        <v/>
      </c>
    </row>
    <row r="529" spans="1:9" ht="23" customHeight="1" x14ac:dyDescent="0.35">
      <c r="A529" s="57"/>
      <c r="B529" s="34" t="str">
        <f>IFERROR(VLOOKUP(A529,庫存!$A:$I,2,0),"")</f>
        <v/>
      </c>
      <c r="C529" s="34" t="str">
        <f>IFERROR(VLOOKUP(A529,庫存!$A:$I,3,0),"")</f>
        <v/>
      </c>
      <c r="D529" s="54"/>
      <c r="E529" s="35" t="str">
        <f t="shared" si="16"/>
        <v/>
      </c>
      <c r="F529" s="45" t="str">
        <f>IFERROR(VLOOKUP(A529,庫存!$A:$I,4,0),"0")</f>
        <v>0</v>
      </c>
      <c r="G529" s="43" t="str">
        <f t="shared" si="17"/>
        <v/>
      </c>
      <c r="H529" s="24" t="str">
        <f>IFERROR(VLOOKUP(A529,庫存!$A:$I,8,0),"")</f>
        <v/>
      </c>
      <c r="I529" s="24" t="str">
        <f>IFERROR(VLOOKUP(A529,庫存!$A:$I,9,0),"")</f>
        <v/>
      </c>
    </row>
    <row r="530" spans="1:9" ht="23" customHeight="1" x14ac:dyDescent="0.35">
      <c r="A530" s="57"/>
      <c r="B530" s="34" t="str">
        <f>IFERROR(VLOOKUP(A530,庫存!$A:$I,2,0),"")</f>
        <v/>
      </c>
      <c r="C530" s="34" t="str">
        <f>IFERROR(VLOOKUP(A530,庫存!$A:$I,3,0),"")</f>
        <v/>
      </c>
      <c r="D530" s="54"/>
      <c r="E530" s="35" t="str">
        <f t="shared" si="16"/>
        <v/>
      </c>
      <c r="F530" s="45" t="str">
        <f>IFERROR(VLOOKUP(A530,庫存!$A:$I,4,0),"0")</f>
        <v>0</v>
      </c>
      <c r="G530" s="43" t="str">
        <f t="shared" si="17"/>
        <v/>
      </c>
      <c r="H530" s="24" t="str">
        <f>IFERROR(VLOOKUP(A530,庫存!$A:$I,8,0),"")</f>
        <v/>
      </c>
      <c r="I530" s="24" t="str">
        <f>IFERROR(VLOOKUP(A530,庫存!$A:$I,9,0),"")</f>
        <v/>
      </c>
    </row>
    <row r="531" spans="1:9" ht="23" customHeight="1" x14ac:dyDescent="0.35">
      <c r="A531" s="57"/>
      <c r="B531" s="34" t="str">
        <f>IFERROR(VLOOKUP(A531,庫存!$A:$I,2,0),"")</f>
        <v/>
      </c>
      <c r="C531" s="34" t="str">
        <f>IFERROR(VLOOKUP(A531,庫存!$A:$I,3,0),"")</f>
        <v/>
      </c>
      <c r="D531" s="54"/>
      <c r="E531" s="35" t="str">
        <f t="shared" si="16"/>
        <v/>
      </c>
      <c r="F531" s="45" t="str">
        <f>IFERROR(VLOOKUP(A531,庫存!$A:$I,4,0),"0")</f>
        <v>0</v>
      </c>
      <c r="G531" s="43" t="str">
        <f t="shared" si="17"/>
        <v/>
      </c>
      <c r="H531" s="24" t="str">
        <f>IFERROR(VLOOKUP(A531,庫存!$A:$I,8,0),"")</f>
        <v/>
      </c>
      <c r="I531" s="24" t="str">
        <f>IFERROR(VLOOKUP(A531,庫存!$A:$I,9,0),"")</f>
        <v/>
      </c>
    </row>
    <row r="532" spans="1:9" ht="23" customHeight="1" x14ac:dyDescent="0.35">
      <c r="A532" s="57"/>
      <c r="B532" s="34" t="str">
        <f>IFERROR(VLOOKUP(A532,庫存!$A:$I,2,0),"")</f>
        <v/>
      </c>
      <c r="C532" s="34" t="str">
        <f>IFERROR(VLOOKUP(A532,庫存!$A:$I,3,0),"")</f>
        <v/>
      </c>
      <c r="D532" s="54"/>
      <c r="E532" s="35" t="str">
        <f t="shared" si="16"/>
        <v/>
      </c>
      <c r="F532" s="45" t="str">
        <f>IFERROR(VLOOKUP(A532,庫存!$A:$I,4,0),"0")</f>
        <v>0</v>
      </c>
      <c r="G532" s="43" t="str">
        <f t="shared" si="17"/>
        <v/>
      </c>
      <c r="H532" s="24" t="str">
        <f>IFERROR(VLOOKUP(A532,庫存!$A:$I,8,0),"")</f>
        <v/>
      </c>
      <c r="I532" s="24" t="str">
        <f>IFERROR(VLOOKUP(A532,庫存!$A:$I,9,0),"")</f>
        <v/>
      </c>
    </row>
    <row r="533" spans="1:9" ht="23" customHeight="1" x14ac:dyDescent="0.35">
      <c r="A533" s="57"/>
      <c r="B533" s="34" t="str">
        <f>IFERROR(VLOOKUP(A533,庫存!$A:$I,2,0),"")</f>
        <v/>
      </c>
      <c r="C533" s="34" t="str">
        <f>IFERROR(VLOOKUP(A533,庫存!$A:$I,3,0),"")</f>
        <v/>
      </c>
      <c r="D533" s="54"/>
      <c r="E533" s="35" t="str">
        <f t="shared" si="16"/>
        <v/>
      </c>
      <c r="F533" s="45" t="str">
        <f>IFERROR(VLOOKUP(A533,庫存!$A:$I,4,0),"0")</f>
        <v>0</v>
      </c>
      <c r="G533" s="43" t="str">
        <f t="shared" si="17"/>
        <v/>
      </c>
      <c r="H533" s="24" t="str">
        <f>IFERROR(VLOOKUP(A533,庫存!$A:$I,8,0),"")</f>
        <v/>
      </c>
      <c r="I533" s="24" t="str">
        <f>IFERROR(VLOOKUP(A533,庫存!$A:$I,9,0),"")</f>
        <v/>
      </c>
    </row>
    <row r="534" spans="1:9" ht="23" customHeight="1" x14ac:dyDescent="0.35">
      <c r="A534" s="57"/>
      <c r="B534" s="34" t="str">
        <f>IFERROR(VLOOKUP(A534,庫存!$A:$I,2,0),"")</f>
        <v/>
      </c>
      <c r="C534" s="34" t="str">
        <f>IFERROR(VLOOKUP(A534,庫存!$A:$I,3,0),"")</f>
        <v/>
      </c>
      <c r="D534" s="54"/>
      <c r="E534" s="35" t="str">
        <f t="shared" si="16"/>
        <v/>
      </c>
      <c r="F534" s="45" t="str">
        <f>IFERROR(VLOOKUP(A534,庫存!$A:$I,4,0),"0")</f>
        <v>0</v>
      </c>
      <c r="G534" s="43" t="str">
        <f t="shared" si="17"/>
        <v/>
      </c>
      <c r="H534" s="24" t="str">
        <f>IFERROR(VLOOKUP(A534,庫存!$A:$I,8,0),"")</f>
        <v/>
      </c>
      <c r="I534" s="24" t="str">
        <f>IFERROR(VLOOKUP(A534,庫存!$A:$I,9,0),"")</f>
        <v/>
      </c>
    </row>
    <row r="535" spans="1:9" ht="23" customHeight="1" x14ac:dyDescent="0.35">
      <c r="A535" s="57"/>
      <c r="B535" s="34" t="str">
        <f>IFERROR(VLOOKUP(A535,庫存!$A:$I,2,0),"")</f>
        <v/>
      </c>
      <c r="C535" s="34" t="str">
        <f>IFERROR(VLOOKUP(A535,庫存!$A:$I,3,0),"")</f>
        <v/>
      </c>
      <c r="D535" s="54"/>
      <c r="E535" s="35" t="str">
        <f t="shared" si="16"/>
        <v/>
      </c>
      <c r="F535" s="45" t="str">
        <f>IFERROR(VLOOKUP(A535,庫存!$A:$I,4,0),"0")</f>
        <v>0</v>
      </c>
      <c r="G535" s="43" t="str">
        <f t="shared" si="17"/>
        <v/>
      </c>
      <c r="H535" s="24" t="str">
        <f>IFERROR(VLOOKUP(A535,庫存!$A:$I,8,0),"")</f>
        <v/>
      </c>
      <c r="I535" s="24" t="str">
        <f>IFERROR(VLOOKUP(A535,庫存!$A:$I,9,0),"")</f>
        <v/>
      </c>
    </row>
    <row r="536" spans="1:9" ht="23" customHeight="1" x14ac:dyDescent="0.35">
      <c r="A536" s="57"/>
      <c r="B536" s="34" t="str">
        <f>IFERROR(VLOOKUP(A536,庫存!$A:$I,2,0),"")</f>
        <v/>
      </c>
      <c r="C536" s="34" t="str">
        <f>IFERROR(VLOOKUP(A536,庫存!$A:$I,3,0),"")</f>
        <v/>
      </c>
      <c r="D536" s="54"/>
      <c r="E536" s="35" t="str">
        <f t="shared" si="16"/>
        <v/>
      </c>
      <c r="F536" s="45" t="str">
        <f>IFERROR(VLOOKUP(A536,庫存!$A:$I,4,0),"0")</f>
        <v>0</v>
      </c>
      <c r="G536" s="43" t="str">
        <f t="shared" si="17"/>
        <v/>
      </c>
      <c r="H536" s="24" t="str">
        <f>IFERROR(VLOOKUP(A536,庫存!$A:$I,8,0),"")</f>
        <v/>
      </c>
      <c r="I536" s="24" t="str">
        <f>IFERROR(VLOOKUP(A536,庫存!$A:$I,9,0),"")</f>
        <v/>
      </c>
    </row>
    <row r="537" spans="1:9" ht="23" customHeight="1" x14ac:dyDescent="0.35">
      <c r="A537" s="57"/>
      <c r="B537" s="34" t="str">
        <f>IFERROR(VLOOKUP(A537,庫存!$A:$I,2,0),"")</f>
        <v/>
      </c>
      <c r="C537" s="34" t="str">
        <f>IFERROR(VLOOKUP(A537,庫存!$A:$I,3,0),"")</f>
        <v/>
      </c>
      <c r="D537" s="54"/>
      <c r="E537" s="35" t="str">
        <f t="shared" si="16"/>
        <v/>
      </c>
      <c r="F537" s="45" t="str">
        <f>IFERROR(VLOOKUP(A537,庫存!$A:$I,4,0),"0")</f>
        <v>0</v>
      </c>
      <c r="G537" s="43" t="str">
        <f t="shared" si="17"/>
        <v/>
      </c>
      <c r="H537" s="24" t="str">
        <f>IFERROR(VLOOKUP(A537,庫存!$A:$I,8,0),"")</f>
        <v/>
      </c>
      <c r="I537" s="24" t="str">
        <f>IFERROR(VLOOKUP(A537,庫存!$A:$I,9,0),"")</f>
        <v/>
      </c>
    </row>
    <row r="538" spans="1:9" ht="23" customHeight="1" x14ac:dyDescent="0.35">
      <c r="A538" s="57"/>
      <c r="B538" s="34" t="str">
        <f>IFERROR(VLOOKUP(A538,庫存!$A:$I,2,0),"")</f>
        <v/>
      </c>
      <c r="C538" s="34" t="str">
        <f>IFERROR(VLOOKUP(A538,庫存!$A:$I,3,0),"")</f>
        <v/>
      </c>
      <c r="D538" s="54"/>
      <c r="E538" s="35" t="str">
        <f t="shared" si="16"/>
        <v/>
      </c>
      <c r="F538" s="45" t="str">
        <f>IFERROR(VLOOKUP(A538,庫存!$A:$I,4,0),"0")</f>
        <v>0</v>
      </c>
      <c r="G538" s="43" t="str">
        <f t="shared" si="17"/>
        <v/>
      </c>
      <c r="H538" s="24" t="str">
        <f>IFERROR(VLOOKUP(A538,庫存!$A:$I,8,0),"")</f>
        <v/>
      </c>
      <c r="I538" s="24" t="str">
        <f>IFERROR(VLOOKUP(A538,庫存!$A:$I,9,0),"")</f>
        <v/>
      </c>
    </row>
    <row r="539" spans="1:9" ht="23" customHeight="1" x14ac:dyDescent="0.35">
      <c r="A539" s="57"/>
      <c r="B539" s="34" t="str">
        <f>IFERROR(VLOOKUP(A539,庫存!$A:$I,2,0),"")</f>
        <v/>
      </c>
      <c r="C539" s="34" t="str">
        <f>IFERROR(VLOOKUP(A539,庫存!$A:$I,3,0),"")</f>
        <v/>
      </c>
      <c r="D539" s="54"/>
      <c r="E539" s="35" t="str">
        <f t="shared" si="16"/>
        <v/>
      </c>
      <c r="F539" s="45" t="str">
        <f>IFERROR(VLOOKUP(A539,庫存!$A:$I,4,0),"0")</f>
        <v>0</v>
      </c>
      <c r="G539" s="43" t="str">
        <f t="shared" si="17"/>
        <v/>
      </c>
      <c r="H539" s="24" t="str">
        <f>IFERROR(VLOOKUP(A539,庫存!$A:$I,8,0),"")</f>
        <v/>
      </c>
      <c r="I539" s="24" t="str">
        <f>IFERROR(VLOOKUP(A539,庫存!$A:$I,9,0),"")</f>
        <v/>
      </c>
    </row>
    <row r="540" spans="1:9" ht="23" customHeight="1" x14ac:dyDescent="0.35">
      <c r="A540" s="57"/>
      <c r="B540" s="34" t="str">
        <f>IFERROR(VLOOKUP(A540,庫存!$A:$I,2,0),"")</f>
        <v/>
      </c>
      <c r="C540" s="34" t="str">
        <f>IFERROR(VLOOKUP(A540,庫存!$A:$I,3,0),"")</f>
        <v/>
      </c>
      <c r="D540" s="54"/>
      <c r="E540" s="35" t="str">
        <f t="shared" si="16"/>
        <v/>
      </c>
      <c r="F540" s="45" t="str">
        <f>IFERROR(VLOOKUP(A540,庫存!$A:$I,4,0),"0")</f>
        <v>0</v>
      </c>
      <c r="G540" s="43" t="str">
        <f t="shared" si="17"/>
        <v/>
      </c>
      <c r="H540" s="24" t="str">
        <f>IFERROR(VLOOKUP(A540,庫存!$A:$I,8,0),"")</f>
        <v/>
      </c>
      <c r="I540" s="24" t="str">
        <f>IFERROR(VLOOKUP(A540,庫存!$A:$I,9,0),"")</f>
        <v/>
      </c>
    </row>
    <row r="541" spans="1:9" ht="23" customHeight="1" x14ac:dyDescent="0.35">
      <c r="A541" s="57"/>
      <c r="B541" s="34" t="str">
        <f>IFERROR(VLOOKUP(A541,庫存!$A:$I,2,0),"")</f>
        <v/>
      </c>
      <c r="C541" s="34" t="str">
        <f>IFERROR(VLOOKUP(A541,庫存!$A:$I,3,0),"")</f>
        <v/>
      </c>
      <c r="D541" s="54"/>
      <c r="E541" s="35" t="str">
        <f t="shared" si="16"/>
        <v/>
      </c>
      <c r="F541" s="45" t="str">
        <f>IFERROR(VLOOKUP(A541,庫存!$A:$I,4,0),"0")</f>
        <v>0</v>
      </c>
      <c r="G541" s="43" t="str">
        <f t="shared" si="17"/>
        <v/>
      </c>
      <c r="H541" s="24" t="str">
        <f>IFERROR(VLOOKUP(A541,庫存!$A:$I,8,0),"")</f>
        <v/>
      </c>
      <c r="I541" s="24" t="str">
        <f>IFERROR(VLOOKUP(A541,庫存!$A:$I,9,0),"")</f>
        <v/>
      </c>
    </row>
    <row r="542" spans="1:9" ht="23" customHeight="1" x14ac:dyDescent="0.35">
      <c r="A542" s="57"/>
      <c r="B542" s="34" t="str">
        <f>IFERROR(VLOOKUP(A542,庫存!$A:$I,2,0),"")</f>
        <v/>
      </c>
      <c r="C542" s="34" t="str">
        <f>IFERROR(VLOOKUP(A542,庫存!$A:$I,3,0),"")</f>
        <v/>
      </c>
      <c r="D542" s="54"/>
      <c r="E542" s="35" t="str">
        <f t="shared" si="16"/>
        <v/>
      </c>
      <c r="F542" s="45" t="str">
        <f>IFERROR(VLOOKUP(A542,庫存!$A:$I,4,0),"0")</f>
        <v>0</v>
      </c>
      <c r="G542" s="43" t="str">
        <f t="shared" si="17"/>
        <v/>
      </c>
      <c r="H542" s="24" t="str">
        <f>IFERROR(VLOOKUP(A542,庫存!$A:$I,8,0),"")</f>
        <v/>
      </c>
      <c r="I542" s="24" t="str">
        <f>IFERROR(VLOOKUP(A542,庫存!$A:$I,9,0),"")</f>
        <v/>
      </c>
    </row>
    <row r="543" spans="1:9" ht="23" customHeight="1" x14ac:dyDescent="0.35">
      <c r="A543" s="57"/>
      <c r="B543" s="34" t="str">
        <f>IFERROR(VLOOKUP(A543,庫存!$A:$I,2,0),"")</f>
        <v/>
      </c>
      <c r="C543" s="34" t="str">
        <f>IFERROR(VLOOKUP(A543,庫存!$A:$I,3,0),"")</f>
        <v/>
      </c>
      <c r="D543" s="54"/>
      <c r="E543" s="35" t="str">
        <f t="shared" si="16"/>
        <v/>
      </c>
      <c r="F543" s="45" t="str">
        <f>IFERROR(VLOOKUP(A543,庫存!$A:$I,4,0),"0")</f>
        <v>0</v>
      </c>
      <c r="G543" s="43" t="str">
        <f t="shared" si="17"/>
        <v/>
      </c>
      <c r="H543" s="24" t="str">
        <f>IFERROR(VLOOKUP(A543,庫存!$A:$I,8,0),"")</f>
        <v/>
      </c>
      <c r="I543" s="24" t="str">
        <f>IFERROR(VLOOKUP(A543,庫存!$A:$I,9,0),"")</f>
        <v/>
      </c>
    </row>
    <row r="544" spans="1:9" ht="23" customHeight="1" x14ac:dyDescent="0.35">
      <c r="A544" s="57"/>
      <c r="B544" s="34" t="str">
        <f>IFERROR(VLOOKUP(A544,庫存!$A:$I,2,0),"")</f>
        <v/>
      </c>
      <c r="C544" s="34" t="str">
        <f>IFERROR(VLOOKUP(A544,庫存!$A:$I,3,0),"")</f>
        <v/>
      </c>
      <c r="D544" s="54"/>
      <c r="E544" s="35" t="str">
        <f t="shared" si="16"/>
        <v/>
      </c>
      <c r="F544" s="45" t="str">
        <f>IFERROR(VLOOKUP(A544,庫存!$A:$I,4,0),"0")</f>
        <v>0</v>
      </c>
      <c r="G544" s="43" t="str">
        <f t="shared" si="17"/>
        <v/>
      </c>
      <c r="H544" s="24" t="str">
        <f>IFERROR(VLOOKUP(A544,庫存!$A:$I,8,0),"")</f>
        <v/>
      </c>
      <c r="I544" s="24" t="str">
        <f>IFERROR(VLOOKUP(A544,庫存!$A:$I,9,0),"")</f>
        <v/>
      </c>
    </row>
    <row r="545" spans="1:9" ht="23" customHeight="1" x14ac:dyDescent="0.35">
      <c r="A545" s="57"/>
      <c r="B545" s="34" t="str">
        <f>IFERROR(VLOOKUP(A545,庫存!$A:$I,2,0),"")</f>
        <v/>
      </c>
      <c r="C545" s="34" t="str">
        <f>IFERROR(VLOOKUP(A545,庫存!$A:$I,3,0),"")</f>
        <v/>
      </c>
      <c r="D545" s="54"/>
      <c r="E545" s="35" t="str">
        <f t="shared" si="16"/>
        <v/>
      </c>
      <c r="F545" s="45" t="str">
        <f>IFERROR(VLOOKUP(A545,庫存!$A:$I,4,0),"0")</f>
        <v>0</v>
      </c>
      <c r="G545" s="43" t="str">
        <f t="shared" si="17"/>
        <v/>
      </c>
      <c r="H545" s="24" t="str">
        <f>IFERROR(VLOOKUP(A545,庫存!$A:$I,8,0),"")</f>
        <v/>
      </c>
      <c r="I545" s="24" t="str">
        <f>IFERROR(VLOOKUP(A545,庫存!$A:$I,9,0),"")</f>
        <v/>
      </c>
    </row>
    <row r="546" spans="1:9" ht="23" customHeight="1" x14ac:dyDescent="0.35">
      <c r="A546" s="57"/>
      <c r="B546" s="34" t="str">
        <f>IFERROR(VLOOKUP(A546,庫存!$A:$I,2,0),"")</f>
        <v/>
      </c>
      <c r="C546" s="34" t="str">
        <f>IFERROR(VLOOKUP(A546,庫存!$A:$I,3,0),"")</f>
        <v/>
      </c>
      <c r="D546" s="54"/>
      <c r="E546" s="35" t="str">
        <f t="shared" si="16"/>
        <v/>
      </c>
      <c r="F546" s="45" t="str">
        <f>IFERROR(VLOOKUP(A546,庫存!$A:$I,4,0),"0")</f>
        <v>0</v>
      </c>
      <c r="G546" s="43" t="str">
        <f t="shared" si="17"/>
        <v/>
      </c>
      <c r="H546" s="24" t="str">
        <f>IFERROR(VLOOKUP(A546,庫存!$A:$I,8,0),"")</f>
        <v/>
      </c>
      <c r="I546" s="24" t="str">
        <f>IFERROR(VLOOKUP(A546,庫存!$A:$I,9,0),"")</f>
        <v/>
      </c>
    </row>
    <row r="547" spans="1:9" ht="23" customHeight="1" x14ac:dyDescent="0.35">
      <c r="A547" s="57"/>
      <c r="B547" s="34" t="str">
        <f>IFERROR(VLOOKUP(A547,庫存!$A:$I,2,0),"")</f>
        <v/>
      </c>
      <c r="C547" s="34" t="str">
        <f>IFERROR(VLOOKUP(A547,庫存!$A:$I,3,0),"")</f>
        <v/>
      </c>
      <c r="D547" s="54"/>
      <c r="E547" s="35" t="str">
        <f t="shared" si="16"/>
        <v/>
      </c>
      <c r="F547" s="45" t="str">
        <f>IFERROR(VLOOKUP(A547,庫存!$A:$I,4,0),"0")</f>
        <v>0</v>
      </c>
      <c r="G547" s="43" t="str">
        <f t="shared" si="17"/>
        <v/>
      </c>
      <c r="H547" s="24" t="str">
        <f>IFERROR(VLOOKUP(A547,庫存!$A:$I,8,0),"")</f>
        <v/>
      </c>
      <c r="I547" s="24" t="str">
        <f>IFERROR(VLOOKUP(A547,庫存!$A:$I,9,0),"")</f>
        <v/>
      </c>
    </row>
    <row r="548" spans="1:9" ht="23" customHeight="1" x14ac:dyDescent="0.35">
      <c r="A548" s="57"/>
      <c r="B548" s="34" t="str">
        <f>IFERROR(VLOOKUP(A548,庫存!$A:$I,2,0),"")</f>
        <v/>
      </c>
      <c r="C548" s="34" t="str">
        <f>IFERROR(VLOOKUP(A548,庫存!$A:$I,3,0),"")</f>
        <v/>
      </c>
      <c r="D548" s="54"/>
      <c r="E548" s="35" t="str">
        <f t="shared" si="16"/>
        <v/>
      </c>
      <c r="F548" s="45" t="str">
        <f>IFERROR(VLOOKUP(A548,庫存!$A:$I,4,0),"0")</f>
        <v>0</v>
      </c>
      <c r="G548" s="43" t="str">
        <f t="shared" si="17"/>
        <v/>
      </c>
      <c r="H548" s="24" t="str">
        <f>IFERROR(VLOOKUP(A548,庫存!$A:$I,8,0),"")</f>
        <v/>
      </c>
      <c r="I548" s="24" t="str">
        <f>IFERROR(VLOOKUP(A548,庫存!$A:$I,9,0),"")</f>
        <v/>
      </c>
    </row>
    <row r="549" spans="1:9" ht="23" customHeight="1" x14ac:dyDescent="0.35">
      <c r="A549" s="57"/>
      <c r="B549" s="34" t="str">
        <f>IFERROR(VLOOKUP(A549,庫存!$A:$I,2,0),"")</f>
        <v/>
      </c>
      <c r="C549" s="34" t="str">
        <f>IFERROR(VLOOKUP(A549,庫存!$A:$I,3,0),"")</f>
        <v/>
      </c>
      <c r="D549" s="54"/>
      <c r="E549" s="35" t="str">
        <f t="shared" si="16"/>
        <v/>
      </c>
      <c r="F549" s="45" t="str">
        <f>IFERROR(VLOOKUP(A549,庫存!$A:$I,4,0),"0")</f>
        <v>0</v>
      </c>
      <c r="G549" s="43" t="str">
        <f t="shared" si="17"/>
        <v/>
      </c>
      <c r="H549" s="24" t="str">
        <f>IFERROR(VLOOKUP(A549,庫存!$A:$I,8,0),"")</f>
        <v/>
      </c>
      <c r="I549" s="24" t="str">
        <f>IFERROR(VLOOKUP(A549,庫存!$A:$I,9,0),"")</f>
        <v/>
      </c>
    </row>
    <row r="550" spans="1:9" ht="23" customHeight="1" x14ac:dyDescent="0.35">
      <c r="A550" s="57"/>
      <c r="B550" s="34" t="str">
        <f>IFERROR(VLOOKUP(A550,庫存!$A:$I,2,0),"")</f>
        <v/>
      </c>
      <c r="C550" s="34" t="str">
        <f>IFERROR(VLOOKUP(A550,庫存!$A:$I,3,0),"")</f>
        <v/>
      </c>
      <c r="D550" s="54"/>
      <c r="E550" s="35" t="str">
        <f t="shared" si="16"/>
        <v/>
      </c>
      <c r="F550" s="45" t="str">
        <f>IFERROR(VLOOKUP(A550,庫存!$A:$I,4,0),"0")</f>
        <v>0</v>
      </c>
      <c r="G550" s="43" t="str">
        <f t="shared" si="17"/>
        <v/>
      </c>
      <c r="H550" s="24" t="str">
        <f>IFERROR(VLOOKUP(A550,庫存!$A:$I,8,0),"")</f>
        <v/>
      </c>
      <c r="I550" s="24" t="str">
        <f>IFERROR(VLOOKUP(A550,庫存!$A:$I,9,0),"")</f>
        <v/>
      </c>
    </row>
    <row r="551" spans="1:9" ht="23" customHeight="1" x14ac:dyDescent="0.35">
      <c r="A551" s="57"/>
      <c r="B551" s="34" t="str">
        <f>IFERROR(VLOOKUP(A551,庫存!$A:$I,2,0),"")</f>
        <v/>
      </c>
      <c r="C551" s="34" t="str">
        <f>IFERROR(VLOOKUP(A551,庫存!$A:$I,3,0),"")</f>
        <v/>
      </c>
      <c r="D551" s="54"/>
      <c r="E551" s="35" t="str">
        <f t="shared" si="16"/>
        <v/>
      </c>
      <c r="F551" s="45" t="str">
        <f>IFERROR(VLOOKUP(A551,庫存!$A:$I,4,0),"0")</f>
        <v>0</v>
      </c>
      <c r="G551" s="43" t="str">
        <f t="shared" si="17"/>
        <v/>
      </c>
      <c r="H551" s="24" t="str">
        <f>IFERROR(VLOOKUP(A551,庫存!$A:$I,8,0),"")</f>
        <v/>
      </c>
      <c r="I551" s="24" t="str">
        <f>IFERROR(VLOOKUP(A551,庫存!$A:$I,9,0),"")</f>
        <v/>
      </c>
    </row>
    <row r="552" spans="1:9" ht="23" customHeight="1" x14ac:dyDescent="0.35">
      <c r="A552" s="57"/>
      <c r="B552" s="34" t="str">
        <f>IFERROR(VLOOKUP(A552,庫存!$A:$I,2,0),"")</f>
        <v/>
      </c>
      <c r="C552" s="34" t="str">
        <f>IFERROR(VLOOKUP(A552,庫存!$A:$I,3,0),"")</f>
        <v/>
      </c>
      <c r="D552" s="54"/>
      <c r="E552" s="35" t="str">
        <f t="shared" si="16"/>
        <v/>
      </c>
      <c r="F552" s="45" t="str">
        <f>IFERROR(VLOOKUP(A552,庫存!$A:$I,4,0),"0")</f>
        <v>0</v>
      </c>
      <c r="G552" s="43" t="str">
        <f t="shared" si="17"/>
        <v/>
      </c>
      <c r="H552" s="24" t="str">
        <f>IFERROR(VLOOKUP(A552,庫存!$A:$I,8,0),"")</f>
        <v/>
      </c>
      <c r="I552" s="24" t="str">
        <f>IFERROR(VLOOKUP(A552,庫存!$A:$I,9,0),"")</f>
        <v/>
      </c>
    </row>
    <row r="553" spans="1:9" ht="23" customHeight="1" x14ac:dyDescent="0.35">
      <c r="A553" s="57"/>
      <c r="B553" s="34" t="str">
        <f>IFERROR(VLOOKUP(A553,庫存!$A:$I,2,0),"")</f>
        <v/>
      </c>
      <c r="C553" s="34" t="str">
        <f>IFERROR(VLOOKUP(A553,庫存!$A:$I,3,0),"")</f>
        <v/>
      </c>
      <c r="D553" s="54"/>
      <c r="E553" s="35" t="str">
        <f t="shared" si="16"/>
        <v/>
      </c>
      <c r="F553" s="45" t="str">
        <f>IFERROR(VLOOKUP(A553,庫存!$A:$I,4,0),"0")</f>
        <v>0</v>
      </c>
      <c r="G553" s="43" t="str">
        <f t="shared" si="17"/>
        <v/>
      </c>
      <c r="H553" s="24" t="str">
        <f>IFERROR(VLOOKUP(A553,庫存!$A:$I,8,0),"")</f>
        <v/>
      </c>
      <c r="I553" s="24" t="str">
        <f>IFERROR(VLOOKUP(A553,庫存!$A:$I,9,0),"")</f>
        <v/>
      </c>
    </row>
    <row r="554" spans="1:9" ht="23" customHeight="1" x14ac:dyDescent="0.35">
      <c r="A554" s="57"/>
      <c r="B554" s="34" t="str">
        <f>IFERROR(VLOOKUP(A554,庫存!$A:$I,2,0),"")</f>
        <v/>
      </c>
      <c r="C554" s="34" t="str">
        <f>IFERROR(VLOOKUP(A554,庫存!$A:$I,3,0),"")</f>
        <v/>
      </c>
      <c r="D554" s="54"/>
      <c r="E554" s="35" t="str">
        <f t="shared" si="16"/>
        <v/>
      </c>
      <c r="F554" s="45" t="str">
        <f>IFERROR(VLOOKUP(A554,庫存!$A:$I,4,0),"0")</f>
        <v>0</v>
      </c>
      <c r="G554" s="43" t="str">
        <f t="shared" si="17"/>
        <v/>
      </c>
      <c r="H554" s="24" t="str">
        <f>IFERROR(VLOOKUP(A554,庫存!$A:$I,8,0),"")</f>
        <v/>
      </c>
      <c r="I554" s="24" t="str">
        <f>IFERROR(VLOOKUP(A554,庫存!$A:$I,9,0),"")</f>
        <v/>
      </c>
    </row>
    <row r="555" spans="1:9" ht="23" customHeight="1" x14ac:dyDescent="0.35">
      <c r="A555" s="57"/>
      <c r="B555" s="34" t="str">
        <f>IFERROR(VLOOKUP(A555,庫存!$A:$I,2,0),"")</f>
        <v/>
      </c>
      <c r="C555" s="34" t="str">
        <f>IFERROR(VLOOKUP(A555,庫存!$A:$I,3,0),"")</f>
        <v/>
      </c>
      <c r="D555" s="54"/>
      <c r="E555" s="35" t="str">
        <f t="shared" si="16"/>
        <v/>
      </c>
      <c r="F555" s="45" t="str">
        <f>IFERROR(VLOOKUP(A555,庫存!$A:$I,4,0),"0")</f>
        <v>0</v>
      </c>
      <c r="G555" s="43" t="str">
        <f t="shared" si="17"/>
        <v/>
      </c>
      <c r="H555" s="24" t="str">
        <f>IFERROR(VLOOKUP(A555,庫存!$A:$I,8,0),"")</f>
        <v/>
      </c>
      <c r="I555" s="24" t="str">
        <f>IFERROR(VLOOKUP(A555,庫存!$A:$I,9,0),"")</f>
        <v/>
      </c>
    </row>
    <row r="556" spans="1:9" ht="23" customHeight="1" x14ac:dyDescent="0.35">
      <c r="A556" s="57"/>
      <c r="B556" s="34" t="str">
        <f>IFERROR(VLOOKUP(A556,庫存!$A:$I,2,0),"")</f>
        <v/>
      </c>
      <c r="C556" s="34" t="str">
        <f>IFERROR(VLOOKUP(A556,庫存!$A:$I,3,0),"")</f>
        <v/>
      </c>
      <c r="D556" s="54"/>
      <c r="E556" s="35" t="str">
        <f t="shared" si="16"/>
        <v/>
      </c>
      <c r="F556" s="45" t="str">
        <f>IFERROR(VLOOKUP(A556,庫存!$A:$I,4,0),"0")</f>
        <v>0</v>
      </c>
      <c r="G556" s="43" t="str">
        <f t="shared" si="17"/>
        <v/>
      </c>
      <c r="H556" s="24" t="str">
        <f>IFERROR(VLOOKUP(A556,庫存!$A:$I,8,0),"")</f>
        <v/>
      </c>
      <c r="I556" s="24" t="str">
        <f>IFERROR(VLOOKUP(A556,庫存!$A:$I,9,0),"")</f>
        <v/>
      </c>
    </row>
    <row r="557" spans="1:9" ht="23" customHeight="1" x14ac:dyDescent="0.35">
      <c r="A557" s="57"/>
      <c r="B557" s="34" t="str">
        <f>IFERROR(VLOOKUP(A557,庫存!$A:$I,2,0),"")</f>
        <v/>
      </c>
      <c r="C557" s="34" t="str">
        <f>IFERROR(VLOOKUP(A557,庫存!$A:$I,3,0),"")</f>
        <v/>
      </c>
      <c r="D557" s="54"/>
      <c r="E557" s="35" t="str">
        <f t="shared" si="16"/>
        <v/>
      </c>
      <c r="F557" s="45" t="str">
        <f>IFERROR(VLOOKUP(A557,庫存!$A:$I,4,0),"0")</f>
        <v>0</v>
      </c>
      <c r="G557" s="43" t="str">
        <f t="shared" si="17"/>
        <v/>
      </c>
      <c r="H557" s="24" t="str">
        <f>IFERROR(VLOOKUP(A557,庫存!$A:$I,8,0),"")</f>
        <v/>
      </c>
      <c r="I557" s="24" t="str">
        <f>IFERROR(VLOOKUP(A557,庫存!$A:$I,9,0),"")</f>
        <v/>
      </c>
    </row>
    <row r="558" spans="1:9" ht="23" customHeight="1" x14ac:dyDescent="0.35">
      <c r="A558" s="57"/>
      <c r="B558" s="34" t="str">
        <f>IFERROR(VLOOKUP(A558,庫存!$A:$I,2,0),"")</f>
        <v/>
      </c>
      <c r="C558" s="34" t="str">
        <f>IFERROR(VLOOKUP(A558,庫存!$A:$I,3,0),"")</f>
        <v/>
      </c>
      <c r="D558" s="54"/>
      <c r="E558" s="35" t="str">
        <f t="shared" si="16"/>
        <v/>
      </c>
      <c r="F558" s="45" t="str">
        <f>IFERROR(VLOOKUP(A558,庫存!$A:$I,4,0),"0")</f>
        <v>0</v>
      </c>
      <c r="G558" s="43" t="str">
        <f t="shared" si="17"/>
        <v/>
      </c>
      <c r="H558" s="24" t="str">
        <f>IFERROR(VLOOKUP(A558,庫存!$A:$I,8,0),"")</f>
        <v/>
      </c>
      <c r="I558" s="24" t="str">
        <f>IFERROR(VLOOKUP(A558,庫存!$A:$I,9,0),"")</f>
        <v/>
      </c>
    </row>
    <row r="559" spans="1:9" ht="23" customHeight="1" x14ac:dyDescent="0.35">
      <c r="A559" s="57"/>
      <c r="B559" s="34" t="str">
        <f>IFERROR(VLOOKUP(A559,庫存!$A:$I,2,0),"")</f>
        <v/>
      </c>
      <c r="C559" s="34" t="str">
        <f>IFERROR(VLOOKUP(A559,庫存!$A:$I,3,0),"")</f>
        <v/>
      </c>
      <c r="D559" s="54"/>
      <c r="E559" s="35" t="str">
        <f t="shared" si="16"/>
        <v/>
      </c>
      <c r="F559" s="45" t="str">
        <f>IFERROR(VLOOKUP(A559,庫存!$A:$I,4,0),"0")</f>
        <v>0</v>
      </c>
      <c r="G559" s="43" t="str">
        <f t="shared" si="17"/>
        <v/>
      </c>
      <c r="H559" s="24" t="str">
        <f>IFERROR(VLOOKUP(A559,庫存!$A:$I,8,0),"")</f>
        <v/>
      </c>
      <c r="I559" s="24" t="str">
        <f>IFERROR(VLOOKUP(A559,庫存!$A:$I,9,0),"")</f>
        <v/>
      </c>
    </row>
    <row r="560" spans="1:9" ht="23" customHeight="1" x14ac:dyDescent="0.35">
      <c r="A560" s="57"/>
      <c r="B560" s="34" t="str">
        <f>IFERROR(VLOOKUP(A560,庫存!$A:$I,2,0),"")</f>
        <v/>
      </c>
      <c r="C560" s="34" t="str">
        <f>IFERROR(VLOOKUP(A560,庫存!$A:$I,3,0),"")</f>
        <v/>
      </c>
      <c r="D560" s="54"/>
      <c r="E560" s="35" t="str">
        <f t="shared" si="16"/>
        <v/>
      </c>
      <c r="F560" s="45" t="str">
        <f>IFERROR(VLOOKUP(A560,庫存!$A:$I,4,0),"0")</f>
        <v>0</v>
      </c>
      <c r="G560" s="43" t="str">
        <f t="shared" si="17"/>
        <v/>
      </c>
      <c r="H560" s="24" t="str">
        <f>IFERROR(VLOOKUP(A560,庫存!$A:$I,8,0),"")</f>
        <v/>
      </c>
      <c r="I560" s="24" t="str">
        <f>IFERROR(VLOOKUP(A560,庫存!$A:$I,9,0),"")</f>
        <v/>
      </c>
    </row>
    <row r="561" spans="1:9" ht="23" customHeight="1" x14ac:dyDescent="0.35">
      <c r="A561" s="57"/>
      <c r="B561" s="34" t="str">
        <f>IFERROR(VLOOKUP(A561,庫存!$A:$I,2,0),"")</f>
        <v/>
      </c>
      <c r="C561" s="34" t="str">
        <f>IFERROR(VLOOKUP(A561,庫存!$A:$I,3,0),"")</f>
        <v/>
      </c>
      <c r="D561" s="54"/>
      <c r="E561" s="35" t="str">
        <f t="shared" si="16"/>
        <v/>
      </c>
      <c r="F561" s="45" t="str">
        <f>IFERROR(VLOOKUP(A561,庫存!$A:$I,4,0),"0")</f>
        <v>0</v>
      </c>
      <c r="G561" s="43" t="str">
        <f t="shared" si="17"/>
        <v/>
      </c>
      <c r="H561" s="24" t="str">
        <f>IFERROR(VLOOKUP(A561,庫存!$A:$I,8,0),"")</f>
        <v/>
      </c>
      <c r="I561" s="24" t="str">
        <f>IFERROR(VLOOKUP(A561,庫存!$A:$I,9,0),"")</f>
        <v/>
      </c>
    </row>
    <row r="562" spans="1:9" ht="23" customHeight="1" x14ac:dyDescent="0.35">
      <c r="A562" s="57"/>
      <c r="B562" s="34" t="str">
        <f>IFERROR(VLOOKUP(A562,庫存!$A:$I,2,0),"")</f>
        <v/>
      </c>
      <c r="C562" s="34" t="str">
        <f>IFERROR(VLOOKUP(A562,庫存!$A:$I,3,0),"")</f>
        <v/>
      </c>
      <c r="D562" s="54"/>
      <c r="E562" s="35" t="str">
        <f t="shared" si="16"/>
        <v/>
      </c>
      <c r="F562" s="45" t="str">
        <f>IFERROR(VLOOKUP(A562,庫存!$A:$I,4,0),"0")</f>
        <v>0</v>
      </c>
      <c r="G562" s="43" t="str">
        <f t="shared" si="17"/>
        <v/>
      </c>
      <c r="H562" s="24" t="str">
        <f>IFERROR(VLOOKUP(A562,庫存!$A:$I,8,0),"")</f>
        <v/>
      </c>
      <c r="I562" s="24" t="str">
        <f>IFERROR(VLOOKUP(A562,庫存!$A:$I,9,0),"")</f>
        <v/>
      </c>
    </row>
    <row r="563" spans="1:9" ht="23" customHeight="1" x14ac:dyDescent="0.35">
      <c r="A563" s="57"/>
      <c r="B563" s="34" t="str">
        <f>IFERROR(VLOOKUP(A563,庫存!$A:$I,2,0),"")</f>
        <v/>
      </c>
      <c r="C563" s="34" t="str">
        <f>IFERROR(VLOOKUP(A563,庫存!$A:$I,3,0),"")</f>
        <v/>
      </c>
      <c r="D563" s="54"/>
      <c r="E563" s="35" t="str">
        <f t="shared" si="16"/>
        <v/>
      </c>
      <c r="F563" s="45" t="str">
        <f>IFERROR(VLOOKUP(A563,庫存!$A:$I,4,0),"0")</f>
        <v>0</v>
      </c>
      <c r="G563" s="43" t="str">
        <f t="shared" si="17"/>
        <v/>
      </c>
      <c r="H563" s="24" t="str">
        <f>IFERROR(VLOOKUP(A563,庫存!$A:$I,8,0),"")</f>
        <v/>
      </c>
      <c r="I563" s="24" t="str">
        <f>IFERROR(VLOOKUP(A563,庫存!$A:$I,9,0),"")</f>
        <v/>
      </c>
    </row>
    <row r="564" spans="1:9" ht="23" customHeight="1" x14ac:dyDescent="0.35">
      <c r="A564" s="57"/>
      <c r="B564" s="34" t="str">
        <f>IFERROR(VLOOKUP(A564,庫存!$A:$I,2,0),"")</f>
        <v/>
      </c>
      <c r="C564" s="34" t="str">
        <f>IFERROR(VLOOKUP(A564,庫存!$A:$I,3,0),"")</f>
        <v/>
      </c>
      <c r="D564" s="54"/>
      <c r="E564" s="35" t="str">
        <f t="shared" si="16"/>
        <v/>
      </c>
      <c r="F564" s="45" t="str">
        <f>IFERROR(VLOOKUP(A564,庫存!$A:$I,4,0),"0")</f>
        <v>0</v>
      </c>
      <c r="G564" s="43" t="str">
        <f t="shared" si="17"/>
        <v/>
      </c>
      <c r="H564" s="24" t="str">
        <f>IFERROR(VLOOKUP(A564,庫存!$A:$I,8,0),"")</f>
        <v/>
      </c>
      <c r="I564" s="24" t="str">
        <f>IFERROR(VLOOKUP(A564,庫存!$A:$I,9,0),"")</f>
        <v/>
      </c>
    </row>
    <row r="565" spans="1:9" ht="23" customHeight="1" x14ac:dyDescent="0.35">
      <c r="A565" s="57"/>
      <c r="B565" s="34" t="str">
        <f>IFERROR(VLOOKUP(A565,庫存!$A:$I,2,0),"")</f>
        <v/>
      </c>
      <c r="C565" s="34" t="str">
        <f>IFERROR(VLOOKUP(A565,庫存!$A:$I,3,0),"")</f>
        <v/>
      </c>
      <c r="D565" s="54"/>
      <c r="E565" s="35" t="str">
        <f t="shared" si="16"/>
        <v/>
      </c>
      <c r="F565" s="45" t="str">
        <f>IFERROR(VLOOKUP(A565,庫存!$A:$I,4,0),"0")</f>
        <v>0</v>
      </c>
      <c r="G565" s="43" t="str">
        <f t="shared" si="17"/>
        <v/>
      </c>
      <c r="H565" s="24" t="str">
        <f>IFERROR(VLOOKUP(A565,庫存!$A:$I,8,0),"")</f>
        <v/>
      </c>
      <c r="I565" s="24" t="str">
        <f>IFERROR(VLOOKUP(A565,庫存!$A:$I,9,0),"")</f>
        <v/>
      </c>
    </row>
    <row r="566" spans="1:9" ht="23" customHeight="1" x14ac:dyDescent="0.35">
      <c r="A566" s="57"/>
      <c r="B566" s="34" t="str">
        <f>IFERROR(VLOOKUP(A566,庫存!$A:$I,2,0),"")</f>
        <v/>
      </c>
      <c r="C566" s="34" t="str">
        <f>IFERROR(VLOOKUP(A566,庫存!$A:$I,3,0),"")</f>
        <v/>
      </c>
      <c r="D566" s="54"/>
      <c r="E566" s="35" t="str">
        <f t="shared" si="16"/>
        <v/>
      </c>
      <c r="F566" s="45" t="str">
        <f>IFERROR(VLOOKUP(A566,庫存!$A:$I,4,0),"0")</f>
        <v>0</v>
      </c>
      <c r="G566" s="43" t="str">
        <f t="shared" si="17"/>
        <v/>
      </c>
      <c r="H566" s="24" t="str">
        <f>IFERROR(VLOOKUP(A566,庫存!$A:$I,8,0),"")</f>
        <v/>
      </c>
      <c r="I566" s="24" t="str">
        <f>IFERROR(VLOOKUP(A566,庫存!$A:$I,9,0),"")</f>
        <v/>
      </c>
    </row>
    <row r="567" spans="1:9" ht="23" customHeight="1" x14ac:dyDescent="0.35">
      <c r="A567" s="57"/>
      <c r="B567" s="34" t="str">
        <f>IFERROR(VLOOKUP(A567,庫存!$A:$I,2,0),"")</f>
        <v/>
      </c>
      <c r="C567" s="34" t="str">
        <f>IFERROR(VLOOKUP(A567,庫存!$A:$I,3,0),"")</f>
        <v/>
      </c>
      <c r="D567" s="54"/>
      <c r="E567" s="35" t="str">
        <f t="shared" si="16"/>
        <v/>
      </c>
      <c r="F567" s="45" t="str">
        <f>IFERROR(VLOOKUP(A567,庫存!$A:$I,4,0),"0")</f>
        <v>0</v>
      </c>
      <c r="G567" s="43" t="str">
        <f t="shared" si="17"/>
        <v/>
      </c>
      <c r="H567" s="24" t="str">
        <f>IFERROR(VLOOKUP(A567,庫存!$A:$I,8,0),"")</f>
        <v/>
      </c>
      <c r="I567" s="24" t="str">
        <f>IFERROR(VLOOKUP(A567,庫存!$A:$I,9,0),"")</f>
        <v/>
      </c>
    </row>
    <row r="568" spans="1:9" ht="23" customHeight="1" x14ac:dyDescent="0.35">
      <c r="A568" s="57"/>
      <c r="B568" s="34" t="str">
        <f>IFERROR(VLOOKUP(A568,庫存!$A:$I,2,0),"")</f>
        <v/>
      </c>
      <c r="C568" s="34" t="str">
        <f>IFERROR(VLOOKUP(A568,庫存!$A:$I,3,0),"")</f>
        <v/>
      </c>
      <c r="D568" s="54"/>
      <c r="E568" s="35" t="str">
        <f t="shared" si="16"/>
        <v/>
      </c>
      <c r="F568" s="45" t="str">
        <f>IFERROR(VLOOKUP(A568,庫存!$A:$I,4,0),"0")</f>
        <v>0</v>
      </c>
      <c r="G568" s="43" t="str">
        <f t="shared" si="17"/>
        <v/>
      </c>
      <c r="H568" s="24" t="str">
        <f>IFERROR(VLOOKUP(A568,庫存!$A:$I,8,0),"")</f>
        <v/>
      </c>
      <c r="I568" s="24" t="str">
        <f>IFERROR(VLOOKUP(A568,庫存!$A:$I,9,0),"")</f>
        <v/>
      </c>
    </row>
    <row r="569" spans="1:9" ht="23" customHeight="1" x14ac:dyDescent="0.35">
      <c r="A569" s="57"/>
      <c r="B569" s="34" t="str">
        <f>IFERROR(VLOOKUP(A569,庫存!$A:$I,2,0),"")</f>
        <v/>
      </c>
      <c r="C569" s="34" t="str">
        <f>IFERROR(VLOOKUP(A569,庫存!$A:$I,3,0),"")</f>
        <v/>
      </c>
      <c r="D569" s="54"/>
      <c r="E569" s="35" t="str">
        <f t="shared" si="16"/>
        <v/>
      </c>
      <c r="F569" s="45" t="str">
        <f>IFERROR(VLOOKUP(A569,庫存!$A:$I,4,0),"0")</f>
        <v>0</v>
      </c>
      <c r="G569" s="43" t="str">
        <f t="shared" si="17"/>
        <v/>
      </c>
      <c r="H569" s="24" t="str">
        <f>IFERROR(VLOOKUP(A569,庫存!$A:$I,8,0),"")</f>
        <v/>
      </c>
      <c r="I569" s="24" t="str">
        <f>IFERROR(VLOOKUP(A569,庫存!$A:$I,9,0),"")</f>
        <v/>
      </c>
    </row>
    <row r="570" spans="1:9" ht="23" customHeight="1" x14ac:dyDescent="0.35">
      <c r="A570" s="57"/>
      <c r="B570" s="34" t="str">
        <f>IFERROR(VLOOKUP(A570,庫存!$A:$I,2,0),"")</f>
        <v/>
      </c>
      <c r="C570" s="34" t="str">
        <f>IFERROR(VLOOKUP(A570,庫存!$A:$I,3,0),"")</f>
        <v/>
      </c>
      <c r="D570" s="54"/>
      <c r="E570" s="35" t="str">
        <f t="shared" si="16"/>
        <v/>
      </c>
      <c r="F570" s="45" t="str">
        <f>IFERROR(VLOOKUP(A570,庫存!$A:$I,4,0),"0")</f>
        <v>0</v>
      </c>
      <c r="G570" s="43" t="str">
        <f t="shared" si="17"/>
        <v/>
      </c>
      <c r="H570" s="24" t="str">
        <f>IFERROR(VLOOKUP(A570,庫存!$A:$I,8,0),"")</f>
        <v/>
      </c>
      <c r="I570" s="24" t="str">
        <f>IFERROR(VLOOKUP(A570,庫存!$A:$I,9,0),"")</f>
        <v/>
      </c>
    </row>
    <row r="571" spans="1:9" ht="23" customHeight="1" x14ac:dyDescent="0.35">
      <c r="A571" s="57"/>
      <c r="B571" s="34" t="str">
        <f>IFERROR(VLOOKUP(A571,庫存!$A:$I,2,0),"")</f>
        <v/>
      </c>
      <c r="C571" s="34" t="str">
        <f>IFERROR(VLOOKUP(A571,庫存!$A:$I,3,0),"")</f>
        <v/>
      </c>
      <c r="D571" s="54"/>
      <c r="E571" s="35" t="str">
        <f t="shared" si="16"/>
        <v/>
      </c>
      <c r="F571" s="45" t="str">
        <f>IFERROR(VLOOKUP(A571,庫存!$A:$I,4,0),"0")</f>
        <v>0</v>
      </c>
      <c r="G571" s="43" t="str">
        <f t="shared" si="17"/>
        <v/>
      </c>
      <c r="H571" s="24" t="str">
        <f>IFERROR(VLOOKUP(A571,庫存!$A:$I,8,0),"")</f>
        <v/>
      </c>
      <c r="I571" s="24" t="str">
        <f>IFERROR(VLOOKUP(A571,庫存!$A:$I,9,0),"")</f>
        <v/>
      </c>
    </row>
    <row r="572" spans="1:9" ht="23" customHeight="1" x14ac:dyDescent="0.35">
      <c r="A572" s="57"/>
      <c r="B572" s="34" t="str">
        <f>IFERROR(VLOOKUP(A572,庫存!$A:$I,2,0),"")</f>
        <v/>
      </c>
      <c r="C572" s="34" t="str">
        <f>IFERROR(VLOOKUP(A572,庫存!$A:$I,3,0),"")</f>
        <v/>
      </c>
      <c r="D572" s="54"/>
      <c r="E572" s="35" t="str">
        <f t="shared" si="16"/>
        <v/>
      </c>
      <c r="F572" s="45" t="str">
        <f>IFERROR(VLOOKUP(A572,庫存!$A:$I,4,0),"0")</f>
        <v>0</v>
      </c>
      <c r="G572" s="43" t="str">
        <f t="shared" si="17"/>
        <v/>
      </c>
      <c r="H572" s="24" t="str">
        <f>IFERROR(VLOOKUP(A572,庫存!$A:$I,8,0),"")</f>
        <v/>
      </c>
      <c r="I572" s="24" t="str">
        <f>IFERROR(VLOOKUP(A572,庫存!$A:$I,9,0),"")</f>
        <v/>
      </c>
    </row>
    <row r="573" spans="1:9" ht="23" customHeight="1" x14ac:dyDescent="0.35">
      <c r="A573" s="57"/>
      <c r="B573" s="34" t="str">
        <f>IFERROR(VLOOKUP(A573,庫存!$A:$I,2,0),"")</f>
        <v/>
      </c>
      <c r="C573" s="34" t="str">
        <f>IFERROR(VLOOKUP(A573,庫存!$A:$I,3,0),"")</f>
        <v/>
      </c>
      <c r="D573" s="54"/>
      <c r="E573" s="35" t="str">
        <f t="shared" si="16"/>
        <v/>
      </c>
      <c r="F573" s="45" t="str">
        <f>IFERROR(VLOOKUP(A573,庫存!$A:$I,4,0),"0")</f>
        <v>0</v>
      </c>
      <c r="G573" s="43" t="str">
        <f t="shared" si="17"/>
        <v/>
      </c>
      <c r="H573" s="24" t="str">
        <f>IFERROR(VLOOKUP(A573,庫存!$A:$I,8,0),"")</f>
        <v/>
      </c>
      <c r="I573" s="24" t="str">
        <f>IFERROR(VLOOKUP(A573,庫存!$A:$I,9,0),"")</f>
        <v/>
      </c>
    </row>
    <row r="574" spans="1:9" ht="23" customHeight="1" x14ac:dyDescent="0.35">
      <c r="A574" s="57"/>
      <c r="B574" s="34" t="str">
        <f>IFERROR(VLOOKUP(A574,庫存!$A:$I,2,0),"")</f>
        <v/>
      </c>
      <c r="C574" s="34" t="str">
        <f>IFERROR(VLOOKUP(A574,庫存!$A:$I,3,0),"")</f>
        <v/>
      </c>
      <c r="D574" s="54"/>
      <c r="E574" s="35" t="str">
        <f t="shared" si="16"/>
        <v/>
      </c>
      <c r="F574" s="45" t="str">
        <f>IFERROR(VLOOKUP(A574,庫存!$A:$I,4,0),"0")</f>
        <v>0</v>
      </c>
      <c r="G574" s="43" t="str">
        <f t="shared" si="17"/>
        <v/>
      </c>
      <c r="H574" s="24" t="str">
        <f>IFERROR(VLOOKUP(A574,庫存!$A:$I,8,0),"")</f>
        <v/>
      </c>
      <c r="I574" s="24" t="str">
        <f>IFERROR(VLOOKUP(A574,庫存!$A:$I,9,0),"")</f>
        <v/>
      </c>
    </row>
    <row r="575" spans="1:9" ht="23" customHeight="1" x14ac:dyDescent="0.35">
      <c r="A575" s="57"/>
      <c r="B575" s="34" t="str">
        <f>IFERROR(VLOOKUP(A575,庫存!$A:$I,2,0),"")</f>
        <v/>
      </c>
      <c r="C575" s="34" t="str">
        <f>IFERROR(VLOOKUP(A575,庫存!$A:$I,3,0),"")</f>
        <v/>
      </c>
      <c r="D575" s="54"/>
      <c r="E575" s="35" t="str">
        <f t="shared" si="16"/>
        <v/>
      </c>
      <c r="F575" s="45" t="str">
        <f>IFERROR(VLOOKUP(A575,庫存!$A:$I,4,0),"0")</f>
        <v>0</v>
      </c>
      <c r="G575" s="43" t="str">
        <f t="shared" si="17"/>
        <v/>
      </c>
      <c r="H575" s="24" t="str">
        <f>IFERROR(VLOOKUP(A575,庫存!$A:$I,8,0),"")</f>
        <v/>
      </c>
      <c r="I575" s="24" t="str">
        <f>IFERROR(VLOOKUP(A575,庫存!$A:$I,9,0),"")</f>
        <v/>
      </c>
    </row>
    <row r="576" spans="1:9" ht="23" customHeight="1" x14ac:dyDescent="0.35">
      <c r="A576" s="57"/>
      <c r="B576" s="34" t="str">
        <f>IFERROR(VLOOKUP(A576,庫存!$A:$I,2,0),"")</f>
        <v/>
      </c>
      <c r="C576" s="34" t="str">
        <f>IFERROR(VLOOKUP(A576,庫存!$A:$I,3,0),"")</f>
        <v/>
      </c>
      <c r="D576" s="54"/>
      <c r="E576" s="35" t="str">
        <f t="shared" si="16"/>
        <v/>
      </c>
      <c r="F576" s="45" t="str">
        <f>IFERROR(VLOOKUP(A576,庫存!$A:$I,4,0),"0")</f>
        <v>0</v>
      </c>
      <c r="G576" s="43" t="str">
        <f t="shared" si="17"/>
        <v/>
      </c>
      <c r="H576" s="24" t="str">
        <f>IFERROR(VLOOKUP(A576,庫存!$A:$I,8,0),"")</f>
        <v/>
      </c>
      <c r="I576" s="24" t="str">
        <f>IFERROR(VLOOKUP(A576,庫存!$A:$I,9,0),"")</f>
        <v/>
      </c>
    </row>
    <row r="577" spans="1:9" ht="23" customHeight="1" x14ac:dyDescent="0.35">
      <c r="A577" s="57"/>
      <c r="B577" s="34" t="str">
        <f>IFERROR(VLOOKUP(A577,庫存!$A:$I,2,0),"")</f>
        <v/>
      </c>
      <c r="C577" s="34" t="str">
        <f>IFERROR(VLOOKUP(A577,庫存!$A:$I,3,0),"")</f>
        <v/>
      </c>
      <c r="D577" s="54"/>
      <c r="E577" s="35" t="str">
        <f t="shared" si="16"/>
        <v/>
      </c>
      <c r="F577" s="45" t="str">
        <f>IFERROR(VLOOKUP(A577,庫存!$A:$I,4,0),"0")</f>
        <v>0</v>
      </c>
      <c r="G577" s="43" t="str">
        <f t="shared" si="17"/>
        <v/>
      </c>
      <c r="H577" s="24" t="str">
        <f>IFERROR(VLOOKUP(A577,庫存!$A:$I,8,0),"")</f>
        <v/>
      </c>
      <c r="I577" s="24" t="str">
        <f>IFERROR(VLOOKUP(A577,庫存!$A:$I,9,0),"")</f>
        <v/>
      </c>
    </row>
    <row r="578" spans="1:9" ht="23" customHeight="1" x14ac:dyDescent="0.35">
      <c r="A578" s="57"/>
      <c r="B578" s="34" t="str">
        <f>IFERROR(VLOOKUP(A578,庫存!$A:$I,2,0),"")</f>
        <v/>
      </c>
      <c r="C578" s="34" t="str">
        <f>IFERROR(VLOOKUP(A578,庫存!$A:$I,3,0),"")</f>
        <v/>
      </c>
      <c r="D578" s="54"/>
      <c r="E578" s="35" t="str">
        <f t="shared" ref="E578:E641" si="18">IF(D578*$E$1=0,"",D578*$E$1)</f>
        <v/>
      </c>
      <c r="F578" s="45" t="str">
        <f>IFERROR(VLOOKUP(A578,庫存!$A:$I,4,0),"0")</f>
        <v>0</v>
      </c>
      <c r="G578" s="43" t="str">
        <f t="shared" ref="G578:G641" si="19">IFERROR(F578-E578,"")</f>
        <v/>
      </c>
      <c r="H578" s="24" t="str">
        <f>IFERROR(VLOOKUP(A578,庫存!$A:$I,8,0),"")</f>
        <v/>
      </c>
      <c r="I578" s="24" t="str">
        <f>IFERROR(VLOOKUP(A578,庫存!$A:$I,9,0),"")</f>
        <v/>
      </c>
    </row>
    <row r="579" spans="1:9" ht="23" customHeight="1" x14ac:dyDescent="0.35">
      <c r="A579" s="57"/>
      <c r="B579" s="34" t="str">
        <f>IFERROR(VLOOKUP(A579,庫存!$A:$I,2,0),"")</f>
        <v/>
      </c>
      <c r="C579" s="34" t="str">
        <f>IFERROR(VLOOKUP(A579,庫存!$A:$I,3,0),"")</f>
        <v/>
      </c>
      <c r="D579" s="54"/>
      <c r="E579" s="35" t="str">
        <f t="shared" si="18"/>
        <v/>
      </c>
      <c r="F579" s="45" t="str">
        <f>IFERROR(VLOOKUP(A579,庫存!$A:$I,4,0),"0")</f>
        <v>0</v>
      </c>
      <c r="G579" s="43" t="str">
        <f t="shared" si="19"/>
        <v/>
      </c>
      <c r="H579" s="24" t="str">
        <f>IFERROR(VLOOKUP(A579,庫存!$A:$I,8,0),"")</f>
        <v/>
      </c>
      <c r="I579" s="24" t="str">
        <f>IFERROR(VLOOKUP(A579,庫存!$A:$I,9,0),"")</f>
        <v/>
      </c>
    </row>
    <row r="580" spans="1:9" ht="23" customHeight="1" x14ac:dyDescent="0.35">
      <c r="A580" s="57"/>
      <c r="B580" s="34" t="str">
        <f>IFERROR(VLOOKUP(A580,庫存!$A:$I,2,0),"")</f>
        <v/>
      </c>
      <c r="C580" s="34" t="str">
        <f>IFERROR(VLOOKUP(A580,庫存!$A:$I,3,0),"")</f>
        <v/>
      </c>
      <c r="D580" s="54"/>
      <c r="E580" s="35" t="str">
        <f t="shared" si="18"/>
        <v/>
      </c>
      <c r="F580" s="45" t="str">
        <f>IFERROR(VLOOKUP(A580,庫存!$A:$I,4,0),"0")</f>
        <v>0</v>
      </c>
      <c r="G580" s="43" t="str">
        <f t="shared" si="19"/>
        <v/>
      </c>
      <c r="H580" s="24" t="str">
        <f>IFERROR(VLOOKUP(A580,庫存!$A:$I,8,0),"")</f>
        <v/>
      </c>
      <c r="I580" s="24" t="str">
        <f>IFERROR(VLOOKUP(A580,庫存!$A:$I,9,0),"")</f>
        <v/>
      </c>
    </row>
    <row r="581" spans="1:9" ht="23" customHeight="1" x14ac:dyDescent="0.35">
      <c r="A581" s="57"/>
      <c r="B581" s="34" t="str">
        <f>IFERROR(VLOOKUP(A581,庫存!$A:$I,2,0),"")</f>
        <v/>
      </c>
      <c r="C581" s="34" t="str">
        <f>IFERROR(VLOOKUP(A581,庫存!$A:$I,3,0),"")</f>
        <v/>
      </c>
      <c r="D581" s="54"/>
      <c r="E581" s="35" t="str">
        <f t="shared" si="18"/>
        <v/>
      </c>
      <c r="F581" s="45" t="str">
        <f>IFERROR(VLOOKUP(A581,庫存!$A:$I,4,0),"0")</f>
        <v>0</v>
      </c>
      <c r="G581" s="43" t="str">
        <f t="shared" si="19"/>
        <v/>
      </c>
      <c r="H581" s="24" t="str">
        <f>IFERROR(VLOOKUP(A581,庫存!$A:$I,8,0),"")</f>
        <v/>
      </c>
      <c r="I581" s="24" t="str">
        <f>IFERROR(VLOOKUP(A581,庫存!$A:$I,9,0),"")</f>
        <v/>
      </c>
    </row>
    <row r="582" spans="1:9" ht="23" customHeight="1" x14ac:dyDescent="0.35">
      <c r="A582" s="57"/>
      <c r="B582" s="34" t="str">
        <f>IFERROR(VLOOKUP(A582,庫存!$A:$I,2,0),"")</f>
        <v/>
      </c>
      <c r="C582" s="34" t="str">
        <f>IFERROR(VLOOKUP(A582,庫存!$A:$I,3,0),"")</f>
        <v/>
      </c>
      <c r="D582" s="54"/>
      <c r="E582" s="35" t="str">
        <f t="shared" si="18"/>
        <v/>
      </c>
      <c r="F582" s="45" t="str">
        <f>IFERROR(VLOOKUP(A582,庫存!$A:$I,4,0),"0")</f>
        <v>0</v>
      </c>
      <c r="G582" s="43" t="str">
        <f t="shared" si="19"/>
        <v/>
      </c>
      <c r="H582" s="24" t="str">
        <f>IFERROR(VLOOKUP(A582,庫存!$A:$I,8,0),"")</f>
        <v/>
      </c>
      <c r="I582" s="24" t="str">
        <f>IFERROR(VLOOKUP(A582,庫存!$A:$I,9,0),"")</f>
        <v/>
      </c>
    </row>
    <row r="583" spans="1:9" ht="23" customHeight="1" x14ac:dyDescent="0.35">
      <c r="A583" s="57"/>
      <c r="B583" s="34" t="str">
        <f>IFERROR(VLOOKUP(A583,庫存!$A:$I,2,0),"")</f>
        <v/>
      </c>
      <c r="C583" s="34" t="str">
        <f>IFERROR(VLOOKUP(A583,庫存!$A:$I,3,0),"")</f>
        <v/>
      </c>
      <c r="D583" s="54"/>
      <c r="E583" s="35" t="str">
        <f t="shared" si="18"/>
        <v/>
      </c>
      <c r="F583" s="45" t="str">
        <f>IFERROR(VLOOKUP(A583,庫存!$A:$I,4,0),"0")</f>
        <v>0</v>
      </c>
      <c r="G583" s="43" t="str">
        <f t="shared" si="19"/>
        <v/>
      </c>
      <c r="H583" s="24" t="str">
        <f>IFERROR(VLOOKUP(A583,庫存!$A:$I,8,0),"")</f>
        <v/>
      </c>
      <c r="I583" s="24" t="str">
        <f>IFERROR(VLOOKUP(A583,庫存!$A:$I,9,0),"")</f>
        <v/>
      </c>
    </row>
    <row r="584" spans="1:9" ht="23" customHeight="1" x14ac:dyDescent="0.35">
      <c r="A584" s="57"/>
      <c r="B584" s="34" t="str">
        <f>IFERROR(VLOOKUP(A584,庫存!$A:$I,2,0),"")</f>
        <v/>
      </c>
      <c r="C584" s="34" t="str">
        <f>IFERROR(VLOOKUP(A584,庫存!$A:$I,3,0),"")</f>
        <v/>
      </c>
      <c r="D584" s="54"/>
      <c r="E584" s="35" t="str">
        <f t="shared" si="18"/>
        <v/>
      </c>
      <c r="F584" s="45" t="str">
        <f>IFERROR(VLOOKUP(A584,庫存!$A:$I,4,0),"0")</f>
        <v>0</v>
      </c>
      <c r="G584" s="43" t="str">
        <f t="shared" si="19"/>
        <v/>
      </c>
      <c r="H584" s="24" t="str">
        <f>IFERROR(VLOOKUP(A584,庫存!$A:$I,8,0),"")</f>
        <v/>
      </c>
      <c r="I584" s="24" t="str">
        <f>IFERROR(VLOOKUP(A584,庫存!$A:$I,9,0),"")</f>
        <v/>
      </c>
    </row>
    <row r="585" spans="1:9" ht="23" customHeight="1" x14ac:dyDescent="0.35">
      <c r="A585" s="57"/>
      <c r="B585" s="34" t="str">
        <f>IFERROR(VLOOKUP(A585,庫存!$A:$I,2,0),"")</f>
        <v/>
      </c>
      <c r="C585" s="34" t="str">
        <f>IFERROR(VLOOKUP(A585,庫存!$A:$I,3,0),"")</f>
        <v/>
      </c>
      <c r="D585" s="54"/>
      <c r="E585" s="35" t="str">
        <f t="shared" si="18"/>
        <v/>
      </c>
      <c r="F585" s="45" t="str">
        <f>IFERROR(VLOOKUP(A585,庫存!$A:$I,4,0),"0")</f>
        <v>0</v>
      </c>
      <c r="G585" s="43" t="str">
        <f t="shared" si="19"/>
        <v/>
      </c>
      <c r="H585" s="24" t="str">
        <f>IFERROR(VLOOKUP(A585,庫存!$A:$I,8,0),"")</f>
        <v/>
      </c>
      <c r="I585" s="24" t="str">
        <f>IFERROR(VLOOKUP(A585,庫存!$A:$I,9,0),"")</f>
        <v/>
      </c>
    </row>
    <row r="586" spans="1:9" ht="23" customHeight="1" x14ac:dyDescent="0.35">
      <c r="A586" s="57"/>
      <c r="B586" s="34" t="str">
        <f>IFERROR(VLOOKUP(A586,庫存!$A:$I,2,0),"")</f>
        <v/>
      </c>
      <c r="C586" s="34" t="str">
        <f>IFERROR(VLOOKUP(A586,庫存!$A:$I,3,0),"")</f>
        <v/>
      </c>
      <c r="D586" s="54"/>
      <c r="E586" s="35" t="str">
        <f t="shared" si="18"/>
        <v/>
      </c>
      <c r="F586" s="45" t="str">
        <f>IFERROR(VLOOKUP(A586,庫存!$A:$I,4,0),"0")</f>
        <v>0</v>
      </c>
      <c r="G586" s="43" t="str">
        <f t="shared" si="19"/>
        <v/>
      </c>
      <c r="H586" s="24" t="str">
        <f>IFERROR(VLOOKUP(A586,庫存!$A:$I,8,0),"")</f>
        <v/>
      </c>
      <c r="I586" s="24" t="str">
        <f>IFERROR(VLOOKUP(A586,庫存!$A:$I,9,0),"")</f>
        <v/>
      </c>
    </row>
    <row r="587" spans="1:9" ht="23" customHeight="1" x14ac:dyDescent="0.35">
      <c r="A587" s="57"/>
      <c r="B587" s="34" t="str">
        <f>IFERROR(VLOOKUP(A587,庫存!$A:$I,2,0),"")</f>
        <v/>
      </c>
      <c r="C587" s="34" t="str">
        <f>IFERROR(VLOOKUP(A587,庫存!$A:$I,3,0),"")</f>
        <v/>
      </c>
      <c r="D587" s="54"/>
      <c r="E587" s="35" t="str">
        <f t="shared" si="18"/>
        <v/>
      </c>
      <c r="F587" s="45" t="str">
        <f>IFERROR(VLOOKUP(A587,庫存!$A:$I,4,0),"0")</f>
        <v>0</v>
      </c>
      <c r="G587" s="43" t="str">
        <f t="shared" si="19"/>
        <v/>
      </c>
      <c r="H587" s="24" t="str">
        <f>IFERROR(VLOOKUP(A587,庫存!$A:$I,8,0),"")</f>
        <v/>
      </c>
      <c r="I587" s="24" t="str">
        <f>IFERROR(VLOOKUP(A587,庫存!$A:$I,9,0),"")</f>
        <v/>
      </c>
    </row>
    <row r="588" spans="1:9" ht="23" customHeight="1" x14ac:dyDescent="0.35">
      <c r="A588" s="57"/>
      <c r="B588" s="34" t="str">
        <f>IFERROR(VLOOKUP(A588,庫存!$A:$I,2,0),"")</f>
        <v/>
      </c>
      <c r="C588" s="34" t="str">
        <f>IFERROR(VLOOKUP(A588,庫存!$A:$I,3,0),"")</f>
        <v/>
      </c>
      <c r="D588" s="54"/>
      <c r="E588" s="35" t="str">
        <f t="shared" si="18"/>
        <v/>
      </c>
      <c r="F588" s="45" t="str">
        <f>IFERROR(VLOOKUP(A588,庫存!$A:$I,4,0),"0")</f>
        <v>0</v>
      </c>
      <c r="G588" s="43" t="str">
        <f t="shared" si="19"/>
        <v/>
      </c>
      <c r="H588" s="24" t="str">
        <f>IFERROR(VLOOKUP(A588,庫存!$A:$I,8,0),"")</f>
        <v/>
      </c>
      <c r="I588" s="24" t="str">
        <f>IFERROR(VLOOKUP(A588,庫存!$A:$I,9,0),"")</f>
        <v/>
      </c>
    </row>
    <row r="589" spans="1:9" ht="23" customHeight="1" x14ac:dyDescent="0.35">
      <c r="A589" s="57"/>
      <c r="B589" s="34" t="str">
        <f>IFERROR(VLOOKUP(A589,庫存!$A:$I,2,0),"")</f>
        <v/>
      </c>
      <c r="C589" s="34" t="str">
        <f>IFERROR(VLOOKUP(A589,庫存!$A:$I,3,0),"")</f>
        <v/>
      </c>
      <c r="D589" s="54"/>
      <c r="E589" s="35" t="str">
        <f t="shared" si="18"/>
        <v/>
      </c>
      <c r="F589" s="45" t="str">
        <f>IFERROR(VLOOKUP(A589,庫存!$A:$I,4,0),"0")</f>
        <v>0</v>
      </c>
      <c r="G589" s="43" t="str">
        <f t="shared" si="19"/>
        <v/>
      </c>
      <c r="H589" s="24" t="str">
        <f>IFERROR(VLOOKUP(A589,庫存!$A:$I,8,0),"")</f>
        <v/>
      </c>
      <c r="I589" s="24" t="str">
        <f>IFERROR(VLOOKUP(A589,庫存!$A:$I,9,0),"")</f>
        <v/>
      </c>
    </row>
    <row r="590" spans="1:9" ht="23" customHeight="1" x14ac:dyDescent="0.35">
      <c r="A590" s="57"/>
      <c r="B590" s="34" t="str">
        <f>IFERROR(VLOOKUP(A590,庫存!$A:$I,2,0),"")</f>
        <v/>
      </c>
      <c r="C590" s="34" t="str">
        <f>IFERROR(VLOOKUP(A590,庫存!$A:$I,3,0),"")</f>
        <v/>
      </c>
      <c r="D590" s="54"/>
      <c r="E590" s="35" t="str">
        <f t="shared" si="18"/>
        <v/>
      </c>
      <c r="F590" s="45" t="str">
        <f>IFERROR(VLOOKUP(A590,庫存!$A:$I,4,0),"0")</f>
        <v>0</v>
      </c>
      <c r="G590" s="43" t="str">
        <f t="shared" si="19"/>
        <v/>
      </c>
      <c r="H590" s="24" t="str">
        <f>IFERROR(VLOOKUP(A590,庫存!$A:$I,8,0),"")</f>
        <v/>
      </c>
      <c r="I590" s="24" t="str">
        <f>IFERROR(VLOOKUP(A590,庫存!$A:$I,9,0),"")</f>
        <v/>
      </c>
    </row>
    <row r="591" spans="1:9" ht="23" customHeight="1" x14ac:dyDescent="0.35">
      <c r="A591" s="57"/>
      <c r="B591" s="34" t="str">
        <f>IFERROR(VLOOKUP(A591,庫存!$A:$I,2,0),"")</f>
        <v/>
      </c>
      <c r="C591" s="34" t="str">
        <f>IFERROR(VLOOKUP(A591,庫存!$A:$I,3,0),"")</f>
        <v/>
      </c>
      <c r="D591" s="54"/>
      <c r="E591" s="35" t="str">
        <f t="shared" si="18"/>
        <v/>
      </c>
      <c r="F591" s="45" t="str">
        <f>IFERROR(VLOOKUP(A591,庫存!$A:$I,4,0),"0")</f>
        <v>0</v>
      </c>
      <c r="G591" s="43" t="str">
        <f t="shared" si="19"/>
        <v/>
      </c>
      <c r="H591" s="24" t="str">
        <f>IFERROR(VLOOKUP(A591,庫存!$A:$I,8,0),"")</f>
        <v/>
      </c>
      <c r="I591" s="24" t="str">
        <f>IFERROR(VLOOKUP(A591,庫存!$A:$I,9,0),"")</f>
        <v/>
      </c>
    </row>
    <row r="592" spans="1:9" ht="23" customHeight="1" x14ac:dyDescent="0.35">
      <c r="A592" s="57"/>
      <c r="B592" s="34" t="str">
        <f>IFERROR(VLOOKUP(A592,庫存!$A:$I,2,0),"")</f>
        <v/>
      </c>
      <c r="C592" s="34" t="str">
        <f>IFERROR(VLOOKUP(A592,庫存!$A:$I,3,0),"")</f>
        <v/>
      </c>
      <c r="D592" s="54"/>
      <c r="E592" s="35" t="str">
        <f t="shared" si="18"/>
        <v/>
      </c>
      <c r="F592" s="45" t="str">
        <f>IFERROR(VLOOKUP(A592,庫存!$A:$I,4,0),"0")</f>
        <v>0</v>
      </c>
      <c r="G592" s="43" t="str">
        <f t="shared" si="19"/>
        <v/>
      </c>
      <c r="H592" s="24" t="str">
        <f>IFERROR(VLOOKUP(A592,庫存!$A:$I,8,0),"")</f>
        <v/>
      </c>
      <c r="I592" s="24" t="str">
        <f>IFERROR(VLOOKUP(A592,庫存!$A:$I,9,0),"")</f>
        <v/>
      </c>
    </row>
    <row r="593" spans="1:9" ht="23" customHeight="1" x14ac:dyDescent="0.35">
      <c r="A593" s="57"/>
      <c r="B593" s="34" t="str">
        <f>IFERROR(VLOOKUP(A593,庫存!$A:$I,2,0),"")</f>
        <v/>
      </c>
      <c r="C593" s="34" t="str">
        <f>IFERROR(VLOOKUP(A593,庫存!$A:$I,3,0),"")</f>
        <v/>
      </c>
      <c r="D593" s="54"/>
      <c r="E593" s="35" t="str">
        <f t="shared" si="18"/>
        <v/>
      </c>
      <c r="F593" s="45" t="str">
        <f>IFERROR(VLOOKUP(A593,庫存!$A:$I,4,0),"0")</f>
        <v>0</v>
      </c>
      <c r="G593" s="43" t="str">
        <f t="shared" si="19"/>
        <v/>
      </c>
      <c r="H593" s="24" t="str">
        <f>IFERROR(VLOOKUP(A593,庫存!$A:$I,8,0),"")</f>
        <v/>
      </c>
      <c r="I593" s="24" t="str">
        <f>IFERROR(VLOOKUP(A593,庫存!$A:$I,9,0),"")</f>
        <v/>
      </c>
    </row>
    <row r="594" spans="1:9" ht="23" customHeight="1" x14ac:dyDescent="0.35">
      <c r="A594" s="57"/>
      <c r="B594" s="34" t="str">
        <f>IFERROR(VLOOKUP(A594,庫存!$A:$I,2,0),"")</f>
        <v/>
      </c>
      <c r="C594" s="34" t="str">
        <f>IFERROR(VLOOKUP(A594,庫存!$A:$I,3,0),"")</f>
        <v/>
      </c>
      <c r="D594" s="54"/>
      <c r="E594" s="35" t="str">
        <f t="shared" si="18"/>
        <v/>
      </c>
      <c r="F594" s="45" t="str">
        <f>IFERROR(VLOOKUP(A594,庫存!$A:$I,4,0),"0")</f>
        <v>0</v>
      </c>
      <c r="G594" s="43" t="str">
        <f t="shared" si="19"/>
        <v/>
      </c>
      <c r="H594" s="24" t="str">
        <f>IFERROR(VLOOKUP(A594,庫存!$A:$I,8,0),"")</f>
        <v/>
      </c>
      <c r="I594" s="24" t="str">
        <f>IFERROR(VLOOKUP(A594,庫存!$A:$I,9,0),"")</f>
        <v/>
      </c>
    </row>
    <row r="595" spans="1:9" ht="23" customHeight="1" x14ac:dyDescent="0.35">
      <c r="A595" s="57"/>
      <c r="B595" s="34" t="str">
        <f>IFERROR(VLOOKUP(A595,庫存!$A:$I,2,0),"")</f>
        <v/>
      </c>
      <c r="C595" s="34" t="str">
        <f>IFERROR(VLOOKUP(A595,庫存!$A:$I,3,0),"")</f>
        <v/>
      </c>
      <c r="D595" s="54"/>
      <c r="E595" s="35" t="str">
        <f t="shared" si="18"/>
        <v/>
      </c>
      <c r="F595" s="45" t="str">
        <f>IFERROR(VLOOKUP(A595,庫存!$A:$I,4,0),"0")</f>
        <v>0</v>
      </c>
      <c r="G595" s="43" t="str">
        <f t="shared" si="19"/>
        <v/>
      </c>
      <c r="H595" s="24" t="str">
        <f>IFERROR(VLOOKUP(A595,庫存!$A:$I,8,0),"")</f>
        <v/>
      </c>
      <c r="I595" s="24" t="str">
        <f>IFERROR(VLOOKUP(A595,庫存!$A:$I,9,0),"")</f>
        <v/>
      </c>
    </row>
    <row r="596" spans="1:9" ht="23" customHeight="1" x14ac:dyDescent="0.35">
      <c r="A596" s="57"/>
      <c r="B596" s="34" t="str">
        <f>IFERROR(VLOOKUP(A596,庫存!$A:$I,2,0),"")</f>
        <v/>
      </c>
      <c r="C596" s="34" t="str">
        <f>IFERROR(VLOOKUP(A596,庫存!$A:$I,3,0),"")</f>
        <v/>
      </c>
      <c r="D596" s="54"/>
      <c r="E596" s="35" t="str">
        <f t="shared" si="18"/>
        <v/>
      </c>
      <c r="F596" s="45" t="str">
        <f>IFERROR(VLOOKUP(A596,庫存!$A:$I,4,0),"0")</f>
        <v>0</v>
      </c>
      <c r="G596" s="43" t="str">
        <f t="shared" si="19"/>
        <v/>
      </c>
      <c r="H596" s="24" t="str">
        <f>IFERROR(VLOOKUP(A596,庫存!$A:$I,8,0),"")</f>
        <v/>
      </c>
      <c r="I596" s="24" t="str">
        <f>IFERROR(VLOOKUP(A596,庫存!$A:$I,9,0),"")</f>
        <v/>
      </c>
    </row>
    <row r="597" spans="1:9" ht="23" customHeight="1" x14ac:dyDescent="0.35">
      <c r="A597" s="57"/>
      <c r="B597" s="34" t="str">
        <f>IFERROR(VLOOKUP(A597,庫存!$A:$I,2,0),"")</f>
        <v/>
      </c>
      <c r="C597" s="34" t="str">
        <f>IFERROR(VLOOKUP(A597,庫存!$A:$I,3,0),"")</f>
        <v/>
      </c>
      <c r="D597" s="54"/>
      <c r="E597" s="35" t="str">
        <f t="shared" si="18"/>
        <v/>
      </c>
      <c r="F597" s="45" t="str">
        <f>IFERROR(VLOOKUP(A597,庫存!$A:$I,4,0),"0")</f>
        <v>0</v>
      </c>
      <c r="G597" s="43" t="str">
        <f t="shared" si="19"/>
        <v/>
      </c>
      <c r="H597" s="24" t="str">
        <f>IFERROR(VLOOKUP(A597,庫存!$A:$I,8,0),"")</f>
        <v/>
      </c>
      <c r="I597" s="24" t="str">
        <f>IFERROR(VLOOKUP(A597,庫存!$A:$I,9,0),"")</f>
        <v/>
      </c>
    </row>
    <row r="598" spans="1:9" ht="23" customHeight="1" x14ac:dyDescent="0.35">
      <c r="A598" s="57"/>
      <c r="B598" s="34" t="str">
        <f>IFERROR(VLOOKUP(A598,庫存!$A:$I,2,0),"")</f>
        <v/>
      </c>
      <c r="C598" s="34" t="str">
        <f>IFERROR(VLOOKUP(A598,庫存!$A:$I,3,0),"")</f>
        <v/>
      </c>
      <c r="D598" s="54"/>
      <c r="E598" s="35" t="str">
        <f t="shared" si="18"/>
        <v/>
      </c>
      <c r="F598" s="45" t="str">
        <f>IFERROR(VLOOKUP(A598,庫存!$A:$I,4,0),"0")</f>
        <v>0</v>
      </c>
      <c r="G598" s="43" t="str">
        <f t="shared" si="19"/>
        <v/>
      </c>
      <c r="H598" s="24" t="str">
        <f>IFERROR(VLOOKUP(A598,庫存!$A:$I,8,0),"")</f>
        <v/>
      </c>
      <c r="I598" s="24" t="str">
        <f>IFERROR(VLOOKUP(A598,庫存!$A:$I,9,0),"")</f>
        <v/>
      </c>
    </row>
    <row r="599" spans="1:9" ht="23" customHeight="1" x14ac:dyDescent="0.35">
      <c r="A599" s="57"/>
      <c r="B599" s="34" t="str">
        <f>IFERROR(VLOOKUP(A599,庫存!$A:$I,2,0),"")</f>
        <v/>
      </c>
      <c r="C599" s="34" t="str">
        <f>IFERROR(VLOOKUP(A599,庫存!$A:$I,3,0),"")</f>
        <v/>
      </c>
      <c r="D599" s="54"/>
      <c r="E599" s="35" t="str">
        <f t="shared" si="18"/>
        <v/>
      </c>
      <c r="F599" s="45" t="str">
        <f>IFERROR(VLOOKUP(A599,庫存!$A:$I,4,0),"0")</f>
        <v>0</v>
      </c>
      <c r="G599" s="43" t="str">
        <f t="shared" si="19"/>
        <v/>
      </c>
      <c r="H599" s="24" t="str">
        <f>IFERROR(VLOOKUP(A599,庫存!$A:$I,8,0),"")</f>
        <v/>
      </c>
      <c r="I599" s="24" t="str">
        <f>IFERROR(VLOOKUP(A599,庫存!$A:$I,9,0),"")</f>
        <v/>
      </c>
    </row>
    <row r="600" spans="1:9" ht="23" customHeight="1" x14ac:dyDescent="0.35">
      <c r="A600" s="57"/>
      <c r="B600" s="34" t="str">
        <f>IFERROR(VLOOKUP(A600,庫存!$A:$I,2,0),"")</f>
        <v/>
      </c>
      <c r="C600" s="34" t="str">
        <f>IFERROR(VLOOKUP(A600,庫存!$A:$I,3,0),"")</f>
        <v/>
      </c>
      <c r="D600" s="54"/>
      <c r="E600" s="35" t="str">
        <f t="shared" si="18"/>
        <v/>
      </c>
      <c r="F600" s="45" t="str">
        <f>IFERROR(VLOOKUP(A600,庫存!$A:$I,4,0),"0")</f>
        <v>0</v>
      </c>
      <c r="G600" s="43" t="str">
        <f t="shared" si="19"/>
        <v/>
      </c>
      <c r="H600" s="24" t="str">
        <f>IFERROR(VLOOKUP(A600,庫存!$A:$I,8,0),"")</f>
        <v/>
      </c>
      <c r="I600" s="24" t="str">
        <f>IFERROR(VLOOKUP(A600,庫存!$A:$I,9,0),"")</f>
        <v/>
      </c>
    </row>
    <row r="601" spans="1:9" ht="23" customHeight="1" x14ac:dyDescent="0.35">
      <c r="A601" s="57"/>
      <c r="B601" s="34" t="str">
        <f>IFERROR(VLOOKUP(A601,庫存!$A:$I,2,0),"")</f>
        <v/>
      </c>
      <c r="C601" s="34" t="str">
        <f>IFERROR(VLOOKUP(A601,庫存!$A:$I,3,0),"")</f>
        <v/>
      </c>
      <c r="D601" s="54"/>
      <c r="E601" s="35" t="str">
        <f t="shared" si="18"/>
        <v/>
      </c>
      <c r="F601" s="45" t="str">
        <f>IFERROR(VLOOKUP(A601,庫存!$A:$I,4,0),"0")</f>
        <v>0</v>
      </c>
      <c r="G601" s="43" t="str">
        <f t="shared" si="19"/>
        <v/>
      </c>
      <c r="H601" s="24" t="str">
        <f>IFERROR(VLOOKUP(A601,庫存!$A:$I,8,0),"")</f>
        <v/>
      </c>
      <c r="I601" s="24" t="str">
        <f>IFERROR(VLOOKUP(A601,庫存!$A:$I,9,0),"")</f>
        <v/>
      </c>
    </row>
    <row r="602" spans="1:9" ht="23" customHeight="1" x14ac:dyDescent="0.35">
      <c r="A602" s="57"/>
      <c r="B602" s="34" t="str">
        <f>IFERROR(VLOOKUP(A602,庫存!$A:$I,2,0),"")</f>
        <v/>
      </c>
      <c r="C602" s="34" t="str">
        <f>IFERROR(VLOOKUP(A602,庫存!$A:$I,3,0),"")</f>
        <v/>
      </c>
      <c r="D602" s="54"/>
      <c r="E602" s="35" t="str">
        <f t="shared" si="18"/>
        <v/>
      </c>
      <c r="F602" s="45" t="str">
        <f>IFERROR(VLOOKUP(A602,庫存!$A:$I,4,0),"0")</f>
        <v>0</v>
      </c>
      <c r="G602" s="43" t="str">
        <f t="shared" si="19"/>
        <v/>
      </c>
      <c r="H602" s="24" t="str">
        <f>IFERROR(VLOOKUP(A602,庫存!$A:$I,8,0),"")</f>
        <v/>
      </c>
      <c r="I602" s="24" t="str">
        <f>IFERROR(VLOOKUP(A602,庫存!$A:$I,9,0),"")</f>
        <v/>
      </c>
    </row>
    <row r="603" spans="1:9" ht="23" customHeight="1" x14ac:dyDescent="0.35">
      <c r="A603" s="57"/>
      <c r="B603" s="34" t="str">
        <f>IFERROR(VLOOKUP(A603,庫存!$A:$I,2,0),"")</f>
        <v/>
      </c>
      <c r="C603" s="34" t="str">
        <f>IFERROR(VLOOKUP(A603,庫存!$A:$I,3,0),"")</f>
        <v/>
      </c>
      <c r="D603" s="54"/>
      <c r="E603" s="35" t="str">
        <f t="shared" si="18"/>
        <v/>
      </c>
      <c r="F603" s="45" t="str">
        <f>IFERROR(VLOOKUP(A603,庫存!$A:$I,4,0),"0")</f>
        <v>0</v>
      </c>
      <c r="G603" s="43" t="str">
        <f t="shared" si="19"/>
        <v/>
      </c>
      <c r="H603" s="24" t="str">
        <f>IFERROR(VLOOKUP(A603,庫存!$A:$I,8,0),"")</f>
        <v/>
      </c>
      <c r="I603" s="24" t="str">
        <f>IFERROR(VLOOKUP(A603,庫存!$A:$I,9,0),"")</f>
        <v/>
      </c>
    </row>
    <row r="604" spans="1:9" ht="23" customHeight="1" x14ac:dyDescent="0.35">
      <c r="A604" s="57"/>
      <c r="B604" s="34" t="str">
        <f>IFERROR(VLOOKUP(A604,庫存!$A:$I,2,0),"")</f>
        <v/>
      </c>
      <c r="C604" s="34" t="str">
        <f>IFERROR(VLOOKUP(A604,庫存!$A:$I,3,0),"")</f>
        <v/>
      </c>
      <c r="D604" s="54"/>
      <c r="E604" s="35" t="str">
        <f t="shared" si="18"/>
        <v/>
      </c>
      <c r="F604" s="45" t="str">
        <f>IFERROR(VLOOKUP(A604,庫存!$A:$I,4,0),"0")</f>
        <v>0</v>
      </c>
      <c r="G604" s="43" t="str">
        <f t="shared" si="19"/>
        <v/>
      </c>
      <c r="H604" s="24" t="str">
        <f>IFERROR(VLOOKUP(A604,庫存!$A:$I,8,0),"")</f>
        <v/>
      </c>
      <c r="I604" s="24" t="str">
        <f>IFERROR(VLOOKUP(A604,庫存!$A:$I,9,0),"")</f>
        <v/>
      </c>
    </row>
    <row r="605" spans="1:9" ht="23" customHeight="1" x14ac:dyDescent="0.35">
      <c r="A605" s="57"/>
      <c r="B605" s="34" t="str">
        <f>IFERROR(VLOOKUP(A605,庫存!$A:$I,2,0),"")</f>
        <v/>
      </c>
      <c r="C605" s="34" t="str">
        <f>IFERROR(VLOOKUP(A605,庫存!$A:$I,3,0),"")</f>
        <v/>
      </c>
      <c r="D605" s="54"/>
      <c r="E605" s="35" t="str">
        <f t="shared" si="18"/>
        <v/>
      </c>
      <c r="F605" s="45" t="str">
        <f>IFERROR(VLOOKUP(A605,庫存!$A:$I,4,0),"0")</f>
        <v>0</v>
      </c>
      <c r="G605" s="43" t="str">
        <f t="shared" si="19"/>
        <v/>
      </c>
      <c r="H605" s="24" t="str">
        <f>IFERROR(VLOOKUP(A605,庫存!$A:$I,8,0),"")</f>
        <v/>
      </c>
      <c r="I605" s="24" t="str">
        <f>IFERROR(VLOOKUP(A605,庫存!$A:$I,9,0),"")</f>
        <v/>
      </c>
    </row>
    <row r="606" spans="1:9" ht="23" customHeight="1" x14ac:dyDescent="0.35">
      <c r="A606" s="57"/>
      <c r="B606" s="34" t="str">
        <f>IFERROR(VLOOKUP(A606,庫存!$A:$I,2,0),"")</f>
        <v/>
      </c>
      <c r="C606" s="34" t="str">
        <f>IFERROR(VLOOKUP(A606,庫存!$A:$I,3,0),"")</f>
        <v/>
      </c>
      <c r="D606" s="54"/>
      <c r="E606" s="35" t="str">
        <f t="shared" si="18"/>
        <v/>
      </c>
      <c r="F606" s="45" t="str">
        <f>IFERROR(VLOOKUP(A606,庫存!$A:$I,4,0),"0")</f>
        <v>0</v>
      </c>
      <c r="G606" s="43" t="str">
        <f t="shared" si="19"/>
        <v/>
      </c>
      <c r="H606" s="24" t="str">
        <f>IFERROR(VLOOKUP(A606,庫存!$A:$I,8,0),"")</f>
        <v/>
      </c>
      <c r="I606" s="24" t="str">
        <f>IFERROR(VLOOKUP(A606,庫存!$A:$I,9,0),"")</f>
        <v/>
      </c>
    </row>
    <row r="607" spans="1:9" ht="23" customHeight="1" x14ac:dyDescent="0.35">
      <c r="A607" s="57"/>
      <c r="B607" s="34" t="str">
        <f>IFERROR(VLOOKUP(A607,庫存!$A:$I,2,0),"")</f>
        <v/>
      </c>
      <c r="C607" s="34" t="str">
        <f>IFERROR(VLOOKUP(A607,庫存!$A:$I,3,0),"")</f>
        <v/>
      </c>
      <c r="D607" s="54"/>
      <c r="E607" s="35" t="str">
        <f t="shared" si="18"/>
        <v/>
      </c>
      <c r="F607" s="45" t="str">
        <f>IFERROR(VLOOKUP(A607,庫存!$A:$I,4,0),"0")</f>
        <v>0</v>
      </c>
      <c r="G607" s="43" t="str">
        <f t="shared" si="19"/>
        <v/>
      </c>
      <c r="H607" s="24" t="str">
        <f>IFERROR(VLOOKUP(A607,庫存!$A:$I,8,0),"")</f>
        <v/>
      </c>
      <c r="I607" s="24" t="str">
        <f>IFERROR(VLOOKUP(A607,庫存!$A:$I,9,0),"")</f>
        <v/>
      </c>
    </row>
    <row r="608" spans="1:9" ht="23" customHeight="1" x14ac:dyDescent="0.35">
      <c r="A608" s="57"/>
      <c r="B608" s="34" t="str">
        <f>IFERROR(VLOOKUP(A608,庫存!$A:$I,2,0),"")</f>
        <v/>
      </c>
      <c r="C608" s="34" t="str">
        <f>IFERROR(VLOOKUP(A608,庫存!$A:$I,3,0),"")</f>
        <v/>
      </c>
      <c r="D608" s="54"/>
      <c r="E608" s="35" t="str">
        <f t="shared" si="18"/>
        <v/>
      </c>
      <c r="F608" s="45" t="str">
        <f>IFERROR(VLOOKUP(A608,庫存!$A:$I,4,0),"0")</f>
        <v>0</v>
      </c>
      <c r="G608" s="43" t="str">
        <f t="shared" si="19"/>
        <v/>
      </c>
      <c r="H608" s="24" t="str">
        <f>IFERROR(VLOOKUP(A608,庫存!$A:$I,8,0),"")</f>
        <v/>
      </c>
      <c r="I608" s="24" t="str">
        <f>IFERROR(VLOOKUP(A608,庫存!$A:$I,9,0),"")</f>
        <v/>
      </c>
    </row>
    <row r="609" spans="1:9" ht="23" customHeight="1" x14ac:dyDescent="0.35">
      <c r="A609" s="57"/>
      <c r="B609" s="34" t="str">
        <f>IFERROR(VLOOKUP(A609,庫存!$A:$I,2,0),"")</f>
        <v/>
      </c>
      <c r="C609" s="34" t="str">
        <f>IFERROR(VLOOKUP(A609,庫存!$A:$I,3,0),"")</f>
        <v/>
      </c>
      <c r="D609" s="54"/>
      <c r="E609" s="35" t="str">
        <f t="shared" si="18"/>
        <v/>
      </c>
      <c r="F609" s="45" t="str">
        <f>IFERROR(VLOOKUP(A609,庫存!$A:$I,4,0),"0")</f>
        <v>0</v>
      </c>
      <c r="G609" s="43" t="str">
        <f t="shared" si="19"/>
        <v/>
      </c>
      <c r="H609" s="24" t="str">
        <f>IFERROR(VLOOKUP(A609,庫存!$A:$I,8,0),"")</f>
        <v/>
      </c>
      <c r="I609" s="24" t="str">
        <f>IFERROR(VLOOKUP(A609,庫存!$A:$I,9,0),"")</f>
        <v/>
      </c>
    </row>
    <row r="610" spans="1:9" ht="23" customHeight="1" x14ac:dyDescent="0.35">
      <c r="A610" s="57"/>
      <c r="B610" s="34" t="str">
        <f>IFERROR(VLOOKUP(A610,庫存!$A:$I,2,0),"")</f>
        <v/>
      </c>
      <c r="C610" s="34" t="str">
        <f>IFERROR(VLOOKUP(A610,庫存!$A:$I,3,0),"")</f>
        <v/>
      </c>
      <c r="D610" s="54"/>
      <c r="E610" s="35" t="str">
        <f t="shared" si="18"/>
        <v/>
      </c>
      <c r="F610" s="45" t="str">
        <f>IFERROR(VLOOKUP(A610,庫存!$A:$I,4,0),"0")</f>
        <v>0</v>
      </c>
      <c r="G610" s="43" t="str">
        <f t="shared" si="19"/>
        <v/>
      </c>
      <c r="H610" s="24" t="str">
        <f>IFERROR(VLOOKUP(A610,庫存!$A:$I,8,0),"")</f>
        <v/>
      </c>
      <c r="I610" s="24" t="str">
        <f>IFERROR(VLOOKUP(A610,庫存!$A:$I,9,0),"")</f>
        <v/>
      </c>
    </row>
    <row r="611" spans="1:9" ht="23" customHeight="1" x14ac:dyDescent="0.35">
      <c r="A611" s="57"/>
      <c r="B611" s="34" t="str">
        <f>IFERROR(VLOOKUP(A611,庫存!$A:$I,2,0),"")</f>
        <v/>
      </c>
      <c r="C611" s="34" t="str">
        <f>IFERROR(VLOOKUP(A611,庫存!$A:$I,3,0),"")</f>
        <v/>
      </c>
      <c r="D611" s="54"/>
      <c r="E611" s="35" t="str">
        <f t="shared" si="18"/>
        <v/>
      </c>
      <c r="F611" s="45" t="str">
        <f>IFERROR(VLOOKUP(A611,庫存!$A:$I,4,0),"0")</f>
        <v>0</v>
      </c>
      <c r="G611" s="43" t="str">
        <f t="shared" si="19"/>
        <v/>
      </c>
      <c r="H611" s="24" t="str">
        <f>IFERROR(VLOOKUP(A611,庫存!$A:$I,8,0),"")</f>
        <v/>
      </c>
      <c r="I611" s="24" t="str">
        <f>IFERROR(VLOOKUP(A611,庫存!$A:$I,9,0),"")</f>
        <v/>
      </c>
    </row>
    <row r="612" spans="1:9" ht="23" customHeight="1" x14ac:dyDescent="0.35">
      <c r="A612" s="57"/>
      <c r="B612" s="34" t="str">
        <f>IFERROR(VLOOKUP(A612,庫存!$A:$I,2,0),"")</f>
        <v/>
      </c>
      <c r="C612" s="34" t="str">
        <f>IFERROR(VLOOKUP(A612,庫存!$A:$I,3,0),"")</f>
        <v/>
      </c>
      <c r="D612" s="54"/>
      <c r="E612" s="35" t="str">
        <f t="shared" si="18"/>
        <v/>
      </c>
      <c r="F612" s="45" t="str">
        <f>IFERROR(VLOOKUP(A612,庫存!$A:$I,4,0),"0")</f>
        <v>0</v>
      </c>
      <c r="G612" s="43" t="str">
        <f t="shared" si="19"/>
        <v/>
      </c>
      <c r="H612" s="24" t="str">
        <f>IFERROR(VLOOKUP(A612,庫存!$A:$I,8,0),"")</f>
        <v/>
      </c>
      <c r="I612" s="24" t="str">
        <f>IFERROR(VLOOKUP(A612,庫存!$A:$I,9,0),"")</f>
        <v/>
      </c>
    </row>
    <row r="613" spans="1:9" ht="23" customHeight="1" x14ac:dyDescent="0.35">
      <c r="A613" s="57"/>
      <c r="B613" s="34" t="str">
        <f>IFERROR(VLOOKUP(A613,庫存!$A:$I,2,0),"")</f>
        <v/>
      </c>
      <c r="C613" s="34" t="str">
        <f>IFERROR(VLOOKUP(A613,庫存!$A:$I,3,0),"")</f>
        <v/>
      </c>
      <c r="D613" s="54"/>
      <c r="E613" s="35" t="str">
        <f t="shared" si="18"/>
        <v/>
      </c>
      <c r="F613" s="45" t="str">
        <f>IFERROR(VLOOKUP(A613,庫存!$A:$I,4,0),"0")</f>
        <v>0</v>
      </c>
      <c r="G613" s="43" t="str">
        <f t="shared" si="19"/>
        <v/>
      </c>
      <c r="H613" s="24" t="str">
        <f>IFERROR(VLOOKUP(A613,庫存!$A:$I,8,0),"")</f>
        <v/>
      </c>
      <c r="I613" s="24" t="str">
        <f>IFERROR(VLOOKUP(A613,庫存!$A:$I,9,0),"")</f>
        <v/>
      </c>
    </row>
    <row r="614" spans="1:9" ht="23" customHeight="1" x14ac:dyDescent="0.35">
      <c r="A614" s="57"/>
      <c r="B614" s="34" t="str">
        <f>IFERROR(VLOOKUP(A614,庫存!$A:$I,2,0),"")</f>
        <v/>
      </c>
      <c r="C614" s="34" t="str">
        <f>IFERROR(VLOOKUP(A614,庫存!$A:$I,3,0),"")</f>
        <v/>
      </c>
      <c r="D614" s="54"/>
      <c r="E614" s="35" t="str">
        <f t="shared" si="18"/>
        <v/>
      </c>
      <c r="F614" s="45" t="str">
        <f>IFERROR(VLOOKUP(A614,庫存!$A:$I,4,0),"0")</f>
        <v>0</v>
      </c>
      <c r="G614" s="43" t="str">
        <f t="shared" si="19"/>
        <v/>
      </c>
      <c r="H614" s="24" t="str">
        <f>IFERROR(VLOOKUP(A614,庫存!$A:$I,8,0),"")</f>
        <v/>
      </c>
      <c r="I614" s="24" t="str">
        <f>IFERROR(VLOOKUP(A614,庫存!$A:$I,9,0),"")</f>
        <v/>
      </c>
    </row>
    <row r="615" spans="1:9" ht="23" customHeight="1" x14ac:dyDescent="0.35">
      <c r="A615" s="57"/>
      <c r="B615" s="34" t="str">
        <f>IFERROR(VLOOKUP(A615,庫存!$A:$I,2,0),"")</f>
        <v/>
      </c>
      <c r="C615" s="34" t="str">
        <f>IFERROR(VLOOKUP(A615,庫存!$A:$I,3,0),"")</f>
        <v/>
      </c>
      <c r="D615" s="54"/>
      <c r="E615" s="35" t="str">
        <f t="shared" si="18"/>
        <v/>
      </c>
      <c r="F615" s="45" t="str">
        <f>IFERROR(VLOOKUP(A615,庫存!$A:$I,4,0),"0")</f>
        <v>0</v>
      </c>
      <c r="G615" s="43" t="str">
        <f t="shared" si="19"/>
        <v/>
      </c>
      <c r="H615" s="24" t="str">
        <f>IFERROR(VLOOKUP(A615,庫存!$A:$I,8,0),"")</f>
        <v/>
      </c>
      <c r="I615" s="24" t="str">
        <f>IFERROR(VLOOKUP(A615,庫存!$A:$I,9,0),"")</f>
        <v/>
      </c>
    </row>
    <row r="616" spans="1:9" ht="23" customHeight="1" x14ac:dyDescent="0.35">
      <c r="A616" s="57"/>
      <c r="B616" s="34" t="str">
        <f>IFERROR(VLOOKUP(A616,庫存!$A:$I,2,0),"")</f>
        <v/>
      </c>
      <c r="C616" s="34" t="str">
        <f>IFERROR(VLOOKUP(A616,庫存!$A:$I,3,0),"")</f>
        <v/>
      </c>
      <c r="D616" s="54"/>
      <c r="E616" s="35" t="str">
        <f t="shared" si="18"/>
        <v/>
      </c>
      <c r="F616" s="45" t="str">
        <f>IFERROR(VLOOKUP(A616,庫存!$A:$I,4,0),"0")</f>
        <v>0</v>
      </c>
      <c r="G616" s="43" t="str">
        <f t="shared" si="19"/>
        <v/>
      </c>
      <c r="H616" s="24" t="str">
        <f>IFERROR(VLOOKUP(A616,庫存!$A:$I,8,0),"")</f>
        <v/>
      </c>
      <c r="I616" s="24" t="str">
        <f>IFERROR(VLOOKUP(A616,庫存!$A:$I,9,0),"")</f>
        <v/>
      </c>
    </row>
    <row r="617" spans="1:9" ht="23" customHeight="1" x14ac:dyDescent="0.35">
      <c r="A617" s="57"/>
      <c r="B617" s="34" t="str">
        <f>IFERROR(VLOOKUP(A617,庫存!$A:$I,2,0),"")</f>
        <v/>
      </c>
      <c r="C617" s="34" t="str">
        <f>IFERROR(VLOOKUP(A617,庫存!$A:$I,3,0),"")</f>
        <v/>
      </c>
      <c r="D617" s="54"/>
      <c r="E617" s="35" t="str">
        <f t="shared" si="18"/>
        <v/>
      </c>
      <c r="F617" s="45" t="str">
        <f>IFERROR(VLOOKUP(A617,庫存!$A:$I,4,0),"0")</f>
        <v>0</v>
      </c>
      <c r="G617" s="43" t="str">
        <f t="shared" si="19"/>
        <v/>
      </c>
      <c r="H617" s="24" t="str">
        <f>IFERROR(VLOOKUP(A617,庫存!$A:$I,8,0),"")</f>
        <v/>
      </c>
      <c r="I617" s="24" t="str">
        <f>IFERROR(VLOOKUP(A617,庫存!$A:$I,9,0),"")</f>
        <v/>
      </c>
    </row>
    <row r="618" spans="1:9" ht="23" customHeight="1" x14ac:dyDescent="0.35">
      <c r="A618" s="57"/>
      <c r="B618" s="34" t="str">
        <f>IFERROR(VLOOKUP(A618,庫存!$A:$I,2,0),"")</f>
        <v/>
      </c>
      <c r="C618" s="34" t="str">
        <f>IFERROR(VLOOKUP(A618,庫存!$A:$I,3,0),"")</f>
        <v/>
      </c>
      <c r="D618" s="54"/>
      <c r="E618" s="35" t="str">
        <f t="shared" si="18"/>
        <v/>
      </c>
      <c r="F618" s="45" t="str">
        <f>IFERROR(VLOOKUP(A618,庫存!$A:$I,4,0),"0")</f>
        <v>0</v>
      </c>
      <c r="G618" s="43" t="str">
        <f t="shared" si="19"/>
        <v/>
      </c>
      <c r="H618" s="24" t="str">
        <f>IFERROR(VLOOKUP(A618,庫存!$A:$I,8,0),"")</f>
        <v/>
      </c>
      <c r="I618" s="24" t="str">
        <f>IFERROR(VLOOKUP(A618,庫存!$A:$I,9,0),"")</f>
        <v/>
      </c>
    </row>
    <row r="619" spans="1:9" ht="23" customHeight="1" x14ac:dyDescent="0.35">
      <c r="A619" s="57"/>
      <c r="B619" s="34" t="str">
        <f>IFERROR(VLOOKUP(A619,庫存!$A:$I,2,0),"")</f>
        <v/>
      </c>
      <c r="C619" s="34" t="str">
        <f>IFERROR(VLOOKUP(A619,庫存!$A:$I,3,0),"")</f>
        <v/>
      </c>
      <c r="D619" s="54"/>
      <c r="E619" s="35" t="str">
        <f t="shared" si="18"/>
        <v/>
      </c>
      <c r="F619" s="45" t="str">
        <f>IFERROR(VLOOKUP(A619,庫存!$A:$I,4,0),"0")</f>
        <v>0</v>
      </c>
      <c r="G619" s="43" t="str">
        <f t="shared" si="19"/>
        <v/>
      </c>
      <c r="H619" s="24" t="str">
        <f>IFERROR(VLOOKUP(A619,庫存!$A:$I,8,0),"")</f>
        <v/>
      </c>
      <c r="I619" s="24" t="str">
        <f>IFERROR(VLOOKUP(A619,庫存!$A:$I,9,0),"")</f>
        <v/>
      </c>
    </row>
    <row r="620" spans="1:9" ht="23" customHeight="1" x14ac:dyDescent="0.35">
      <c r="A620" s="57"/>
      <c r="B620" s="34" t="str">
        <f>IFERROR(VLOOKUP(A620,庫存!$A:$I,2,0),"")</f>
        <v/>
      </c>
      <c r="C620" s="34" t="str">
        <f>IFERROR(VLOOKUP(A620,庫存!$A:$I,3,0),"")</f>
        <v/>
      </c>
      <c r="D620" s="54"/>
      <c r="E620" s="35" t="str">
        <f t="shared" si="18"/>
        <v/>
      </c>
      <c r="F620" s="45" t="str">
        <f>IFERROR(VLOOKUP(A620,庫存!$A:$I,4,0),"0")</f>
        <v>0</v>
      </c>
      <c r="G620" s="43" t="str">
        <f t="shared" si="19"/>
        <v/>
      </c>
      <c r="H620" s="24" t="str">
        <f>IFERROR(VLOOKUP(A620,庫存!$A:$I,8,0),"")</f>
        <v/>
      </c>
      <c r="I620" s="24" t="str">
        <f>IFERROR(VLOOKUP(A620,庫存!$A:$I,9,0),"")</f>
        <v/>
      </c>
    </row>
    <row r="621" spans="1:9" ht="23" customHeight="1" x14ac:dyDescent="0.35">
      <c r="A621" s="57"/>
      <c r="B621" s="34" t="str">
        <f>IFERROR(VLOOKUP(A621,庫存!$A:$I,2,0),"")</f>
        <v/>
      </c>
      <c r="C621" s="34" t="str">
        <f>IFERROR(VLOOKUP(A621,庫存!$A:$I,3,0),"")</f>
        <v/>
      </c>
      <c r="D621" s="54"/>
      <c r="E621" s="35" t="str">
        <f t="shared" si="18"/>
        <v/>
      </c>
      <c r="F621" s="45" t="str">
        <f>IFERROR(VLOOKUP(A621,庫存!$A:$I,4,0),"0")</f>
        <v>0</v>
      </c>
      <c r="G621" s="43" t="str">
        <f t="shared" si="19"/>
        <v/>
      </c>
      <c r="H621" s="24" t="str">
        <f>IFERROR(VLOOKUP(A621,庫存!$A:$I,8,0),"")</f>
        <v/>
      </c>
      <c r="I621" s="24" t="str">
        <f>IFERROR(VLOOKUP(A621,庫存!$A:$I,9,0),"")</f>
        <v/>
      </c>
    </row>
    <row r="622" spans="1:9" ht="23" customHeight="1" x14ac:dyDescent="0.35">
      <c r="A622" s="57"/>
      <c r="B622" s="34" t="str">
        <f>IFERROR(VLOOKUP(A622,庫存!$A:$I,2,0),"")</f>
        <v/>
      </c>
      <c r="C622" s="34" t="str">
        <f>IFERROR(VLOOKUP(A622,庫存!$A:$I,3,0),"")</f>
        <v/>
      </c>
      <c r="D622" s="54"/>
      <c r="E622" s="35" t="str">
        <f t="shared" si="18"/>
        <v/>
      </c>
      <c r="F622" s="45" t="str">
        <f>IFERROR(VLOOKUP(A622,庫存!$A:$I,4,0),"0")</f>
        <v>0</v>
      </c>
      <c r="G622" s="43" t="str">
        <f t="shared" si="19"/>
        <v/>
      </c>
      <c r="H622" s="24" t="str">
        <f>IFERROR(VLOOKUP(A622,庫存!$A:$I,8,0),"")</f>
        <v/>
      </c>
      <c r="I622" s="24" t="str">
        <f>IFERROR(VLOOKUP(A622,庫存!$A:$I,9,0),"")</f>
        <v/>
      </c>
    </row>
    <row r="623" spans="1:9" ht="23" customHeight="1" x14ac:dyDescent="0.35">
      <c r="A623" s="57"/>
      <c r="B623" s="34" t="str">
        <f>IFERROR(VLOOKUP(A623,庫存!$A:$I,2,0),"")</f>
        <v/>
      </c>
      <c r="C623" s="34" t="str">
        <f>IFERROR(VLOOKUP(A623,庫存!$A:$I,3,0),"")</f>
        <v/>
      </c>
      <c r="D623" s="54"/>
      <c r="E623" s="35" t="str">
        <f t="shared" si="18"/>
        <v/>
      </c>
      <c r="F623" s="45" t="str">
        <f>IFERROR(VLOOKUP(A623,庫存!$A:$I,4,0),"0")</f>
        <v>0</v>
      </c>
      <c r="G623" s="43" t="str">
        <f t="shared" si="19"/>
        <v/>
      </c>
      <c r="H623" s="24" t="str">
        <f>IFERROR(VLOOKUP(A623,庫存!$A:$I,8,0),"")</f>
        <v/>
      </c>
      <c r="I623" s="24" t="str">
        <f>IFERROR(VLOOKUP(A623,庫存!$A:$I,9,0),"")</f>
        <v/>
      </c>
    </row>
    <row r="624" spans="1:9" ht="23" customHeight="1" x14ac:dyDescent="0.35">
      <c r="A624" s="57"/>
      <c r="B624" s="34" t="str">
        <f>IFERROR(VLOOKUP(A624,庫存!$A:$I,2,0),"")</f>
        <v/>
      </c>
      <c r="C624" s="34" t="str">
        <f>IFERROR(VLOOKUP(A624,庫存!$A:$I,3,0),"")</f>
        <v/>
      </c>
      <c r="D624" s="54"/>
      <c r="E624" s="35" t="str">
        <f t="shared" si="18"/>
        <v/>
      </c>
      <c r="F624" s="45" t="str">
        <f>IFERROR(VLOOKUP(A624,庫存!$A:$I,4,0),"0")</f>
        <v>0</v>
      </c>
      <c r="G624" s="43" t="str">
        <f t="shared" si="19"/>
        <v/>
      </c>
      <c r="H624" s="24" t="str">
        <f>IFERROR(VLOOKUP(A624,庫存!$A:$I,8,0),"")</f>
        <v/>
      </c>
      <c r="I624" s="24" t="str">
        <f>IFERROR(VLOOKUP(A624,庫存!$A:$I,9,0),"")</f>
        <v/>
      </c>
    </row>
    <row r="625" spans="1:9" ht="23" customHeight="1" x14ac:dyDescent="0.35">
      <c r="A625" s="57"/>
      <c r="B625" s="34" t="str">
        <f>IFERROR(VLOOKUP(A625,庫存!$A:$I,2,0),"")</f>
        <v/>
      </c>
      <c r="C625" s="34" t="str">
        <f>IFERROR(VLOOKUP(A625,庫存!$A:$I,3,0),"")</f>
        <v/>
      </c>
      <c r="D625" s="54"/>
      <c r="E625" s="35" t="str">
        <f t="shared" si="18"/>
        <v/>
      </c>
      <c r="F625" s="45" t="str">
        <f>IFERROR(VLOOKUP(A625,庫存!$A:$I,4,0),"0")</f>
        <v>0</v>
      </c>
      <c r="G625" s="43" t="str">
        <f t="shared" si="19"/>
        <v/>
      </c>
      <c r="H625" s="24" t="str">
        <f>IFERROR(VLOOKUP(A625,庫存!$A:$I,8,0),"")</f>
        <v/>
      </c>
      <c r="I625" s="24" t="str">
        <f>IFERROR(VLOOKUP(A625,庫存!$A:$I,9,0),"")</f>
        <v/>
      </c>
    </row>
    <row r="626" spans="1:9" ht="23" customHeight="1" x14ac:dyDescent="0.35">
      <c r="A626" s="57"/>
      <c r="B626" s="34" t="str">
        <f>IFERROR(VLOOKUP(A626,庫存!$A:$I,2,0),"")</f>
        <v/>
      </c>
      <c r="C626" s="34" t="str">
        <f>IFERROR(VLOOKUP(A626,庫存!$A:$I,3,0),"")</f>
        <v/>
      </c>
      <c r="D626" s="54"/>
      <c r="E626" s="35" t="str">
        <f t="shared" si="18"/>
        <v/>
      </c>
      <c r="F626" s="45" t="str">
        <f>IFERROR(VLOOKUP(A626,庫存!$A:$I,4,0),"0")</f>
        <v>0</v>
      </c>
      <c r="G626" s="43" t="str">
        <f t="shared" si="19"/>
        <v/>
      </c>
      <c r="H626" s="24" t="str">
        <f>IFERROR(VLOOKUP(A626,庫存!$A:$I,8,0),"")</f>
        <v/>
      </c>
      <c r="I626" s="24" t="str">
        <f>IFERROR(VLOOKUP(A626,庫存!$A:$I,9,0),"")</f>
        <v/>
      </c>
    </row>
    <row r="627" spans="1:9" ht="23" customHeight="1" x14ac:dyDescent="0.35">
      <c r="A627" s="57"/>
      <c r="B627" s="34" t="str">
        <f>IFERROR(VLOOKUP(A627,庫存!$A:$I,2,0),"")</f>
        <v/>
      </c>
      <c r="C627" s="34" t="str">
        <f>IFERROR(VLOOKUP(A627,庫存!$A:$I,3,0),"")</f>
        <v/>
      </c>
      <c r="D627" s="54"/>
      <c r="E627" s="35" t="str">
        <f t="shared" si="18"/>
        <v/>
      </c>
      <c r="F627" s="45" t="str">
        <f>IFERROR(VLOOKUP(A627,庫存!$A:$I,4,0),"0")</f>
        <v>0</v>
      </c>
      <c r="G627" s="43" t="str">
        <f t="shared" si="19"/>
        <v/>
      </c>
      <c r="H627" s="24" t="str">
        <f>IFERROR(VLOOKUP(A627,庫存!$A:$I,8,0),"")</f>
        <v/>
      </c>
      <c r="I627" s="24" t="str">
        <f>IFERROR(VLOOKUP(A627,庫存!$A:$I,9,0),"")</f>
        <v/>
      </c>
    </row>
    <row r="628" spans="1:9" ht="23" customHeight="1" x14ac:dyDescent="0.35">
      <c r="A628" s="57"/>
      <c r="B628" s="34" t="str">
        <f>IFERROR(VLOOKUP(A628,庫存!$A:$I,2,0),"")</f>
        <v/>
      </c>
      <c r="C628" s="34" t="str">
        <f>IFERROR(VLOOKUP(A628,庫存!$A:$I,3,0),"")</f>
        <v/>
      </c>
      <c r="D628" s="54"/>
      <c r="E628" s="35" t="str">
        <f t="shared" si="18"/>
        <v/>
      </c>
      <c r="F628" s="45" t="str">
        <f>IFERROR(VLOOKUP(A628,庫存!$A:$I,4,0),"0")</f>
        <v>0</v>
      </c>
      <c r="G628" s="43" t="str">
        <f t="shared" si="19"/>
        <v/>
      </c>
      <c r="H628" s="24" t="str">
        <f>IFERROR(VLOOKUP(A628,庫存!$A:$I,8,0),"")</f>
        <v/>
      </c>
      <c r="I628" s="24" t="str">
        <f>IFERROR(VLOOKUP(A628,庫存!$A:$I,9,0),"")</f>
        <v/>
      </c>
    </row>
    <row r="629" spans="1:9" ht="23" customHeight="1" x14ac:dyDescent="0.35">
      <c r="A629" s="57"/>
      <c r="B629" s="34" t="str">
        <f>IFERROR(VLOOKUP(A629,庫存!$A:$I,2,0),"")</f>
        <v/>
      </c>
      <c r="C629" s="34" t="str">
        <f>IFERROR(VLOOKUP(A629,庫存!$A:$I,3,0),"")</f>
        <v/>
      </c>
      <c r="D629" s="54"/>
      <c r="E629" s="35" t="str">
        <f t="shared" si="18"/>
        <v/>
      </c>
      <c r="F629" s="45" t="str">
        <f>IFERROR(VLOOKUP(A629,庫存!$A:$I,4,0),"0")</f>
        <v>0</v>
      </c>
      <c r="G629" s="43" t="str">
        <f t="shared" si="19"/>
        <v/>
      </c>
      <c r="H629" s="24" t="str">
        <f>IFERROR(VLOOKUP(A629,庫存!$A:$I,8,0),"")</f>
        <v/>
      </c>
      <c r="I629" s="24" t="str">
        <f>IFERROR(VLOOKUP(A629,庫存!$A:$I,9,0),"")</f>
        <v/>
      </c>
    </row>
    <row r="630" spans="1:9" ht="23" customHeight="1" x14ac:dyDescent="0.35">
      <c r="A630" s="57"/>
      <c r="B630" s="34" t="str">
        <f>IFERROR(VLOOKUP(A630,庫存!$A:$I,2,0),"")</f>
        <v/>
      </c>
      <c r="C630" s="34" t="str">
        <f>IFERROR(VLOOKUP(A630,庫存!$A:$I,3,0),"")</f>
        <v/>
      </c>
      <c r="D630" s="54"/>
      <c r="E630" s="35" t="str">
        <f t="shared" si="18"/>
        <v/>
      </c>
      <c r="F630" s="45" t="str">
        <f>IFERROR(VLOOKUP(A630,庫存!$A:$I,4,0),"0")</f>
        <v>0</v>
      </c>
      <c r="G630" s="43" t="str">
        <f t="shared" si="19"/>
        <v/>
      </c>
      <c r="H630" s="24" t="str">
        <f>IFERROR(VLOOKUP(A630,庫存!$A:$I,8,0),"")</f>
        <v/>
      </c>
      <c r="I630" s="24" t="str">
        <f>IFERROR(VLOOKUP(A630,庫存!$A:$I,9,0),"")</f>
        <v/>
      </c>
    </row>
    <row r="631" spans="1:9" ht="23" customHeight="1" x14ac:dyDescent="0.35">
      <c r="A631" s="57"/>
      <c r="B631" s="34" t="str">
        <f>IFERROR(VLOOKUP(A631,庫存!$A:$I,2,0),"")</f>
        <v/>
      </c>
      <c r="C631" s="34" t="str">
        <f>IFERROR(VLOOKUP(A631,庫存!$A:$I,3,0),"")</f>
        <v/>
      </c>
      <c r="D631" s="54"/>
      <c r="E631" s="35" t="str">
        <f t="shared" si="18"/>
        <v/>
      </c>
      <c r="F631" s="45" t="str">
        <f>IFERROR(VLOOKUP(A631,庫存!$A:$I,4,0),"0")</f>
        <v>0</v>
      </c>
      <c r="G631" s="43" t="str">
        <f t="shared" si="19"/>
        <v/>
      </c>
      <c r="H631" s="24" t="str">
        <f>IFERROR(VLOOKUP(A631,庫存!$A:$I,8,0),"")</f>
        <v/>
      </c>
      <c r="I631" s="24" t="str">
        <f>IFERROR(VLOOKUP(A631,庫存!$A:$I,9,0),"")</f>
        <v/>
      </c>
    </row>
    <row r="632" spans="1:9" ht="23" customHeight="1" x14ac:dyDescent="0.35">
      <c r="A632" s="57"/>
      <c r="B632" s="34" t="str">
        <f>IFERROR(VLOOKUP(A632,庫存!$A:$I,2,0),"")</f>
        <v/>
      </c>
      <c r="C632" s="34" t="str">
        <f>IFERROR(VLOOKUP(A632,庫存!$A:$I,3,0),"")</f>
        <v/>
      </c>
      <c r="D632" s="54"/>
      <c r="E632" s="35" t="str">
        <f t="shared" si="18"/>
        <v/>
      </c>
      <c r="F632" s="45" t="str">
        <f>IFERROR(VLOOKUP(A632,庫存!$A:$I,4,0),"0")</f>
        <v>0</v>
      </c>
      <c r="G632" s="43" t="str">
        <f t="shared" si="19"/>
        <v/>
      </c>
      <c r="H632" s="24" t="str">
        <f>IFERROR(VLOOKUP(A632,庫存!$A:$I,8,0),"")</f>
        <v/>
      </c>
      <c r="I632" s="24" t="str">
        <f>IFERROR(VLOOKUP(A632,庫存!$A:$I,9,0),"")</f>
        <v/>
      </c>
    </row>
    <row r="633" spans="1:9" ht="23" customHeight="1" x14ac:dyDescent="0.35">
      <c r="A633" s="57"/>
      <c r="B633" s="34" t="str">
        <f>IFERROR(VLOOKUP(A633,庫存!$A:$I,2,0),"")</f>
        <v/>
      </c>
      <c r="C633" s="34" t="str">
        <f>IFERROR(VLOOKUP(A633,庫存!$A:$I,3,0),"")</f>
        <v/>
      </c>
      <c r="D633" s="54"/>
      <c r="E633" s="35" t="str">
        <f t="shared" si="18"/>
        <v/>
      </c>
      <c r="F633" s="45" t="str">
        <f>IFERROR(VLOOKUP(A633,庫存!$A:$I,4,0),"0")</f>
        <v>0</v>
      </c>
      <c r="G633" s="43" t="str">
        <f t="shared" si="19"/>
        <v/>
      </c>
      <c r="H633" s="24" t="str">
        <f>IFERROR(VLOOKUP(A633,庫存!$A:$I,8,0),"")</f>
        <v/>
      </c>
      <c r="I633" s="24" t="str">
        <f>IFERROR(VLOOKUP(A633,庫存!$A:$I,9,0),"")</f>
        <v/>
      </c>
    </row>
    <row r="634" spans="1:9" ht="23" customHeight="1" x14ac:dyDescent="0.35">
      <c r="A634" s="57"/>
      <c r="B634" s="34" t="str">
        <f>IFERROR(VLOOKUP(A634,庫存!$A:$I,2,0),"")</f>
        <v/>
      </c>
      <c r="C634" s="34" t="str">
        <f>IFERROR(VLOOKUP(A634,庫存!$A:$I,3,0),"")</f>
        <v/>
      </c>
      <c r="D634" s="54"/>
      <c r="E634" s="35" t="str">
        <f t="shared" si="18"/>
        <v/>
      </c>
      <c r="F634" s="45" t="str">
        <f>IFERROR(VLOOKUP(A634,庫存!$A:$I,4,0),"0")</f>
        <v>0</v>
      </c>
      <c r="G634" s="43" t="str">
        <f t="shared" si="19"/>
        <v/>
      </c>
      <c r="H634" s="24" t="str">
        <f>IFERROR(VLOOKUP(A634,庫存!$A:$I,8,0),"")</f>
        <v/>
      </c>
      <c r="I634" s="24" t="str">
        <f>IFERROR(VLOOKUP(A634,庫存!$A:$I,9,0),"")</f>
        <v/>
      </c>
    </row>
    <row r="635" spans="1:9" ht="23" customHeight="1" x14ac:dyDescent="0.35">
      <c r="A635" s="57"/>
      <c r="B635" s="34" t="str">
        <f>IFERROR(VLOOKUP(A635,庫存!$A:$I,2,0),"")</f>
        <v/>
      </c>
      <c r="C635" s="34" t="str">
        <f>IFERROR(VLOOKUP(A635,庫存!$A:$I,3,0),"")</f>
        <v/>
      </c>
      <c r="D635" s="54"/>
      <c r="E635" s="35" t="str">
        <f t="shared" si="18"/>
        <v/>
      </c>
      <c r="F635" s="45" t="str">
        <f>IFERROR(VLOOKUP(A635,庫存!$A:$I,4,0),"0")</f>
        <v>0</v>
      </c>
      <c r="G635" s="43" t="str">
        <f t="shared" si="19"/>
        <v/>
      </c>
      <c r="H635" s="24" t="str">
        <f>IFERROR(VLOOKUP(A635,庫存!$A:$I,8,0),"")</f>
        <v/>
      </c>
      <c r="I635" s="24" t="str">
        <f>IFERROR(VLOOKUP(A635,庫存!$A:$I,9,0),"")</f>
        <v/>
      </c>
    </row>
    <row r="636" spans="1:9" ht="23" customHeight="1" x14ac:dyDescent="0.35">
      <c r="A636" s="57"/>
      <c r="B636" s="34" t="str">
        <f>IFERROR(VLOOKUP(A636,庫存!$A:$I,2,0),"")</f>
        <v/>
      </c>
      <c r="C636" s="34" t="str">
        <f>IFERROR(VLOOKUP(A636,庫存!$A:$I,3,0),"")</f>
        <v/>
      </c>
      <c r="D636" s="54"/>
      <c r="E636" s="35" t="str">
        <f t="shared" si="18"/>
        <v/>
      </c>
      <c r="F636" s="45" t="str">
        <f>IFERROR(VLOOKUP(A636,庫存!$A:$I,4,0),"0")</f>
        <v>0</v>
      </c>
      <c r="G636" s="43" t="str">
        <f t="shared" si="19"/>
        <v/>
      </c>
      <c r="H636" s="24" t="str">
        <f>IFERROR(VLOOKUP(A636,庫存!$A:$I,8,0),"")</f>
        <v/>
      </c>
      <c r="I636" s="24" t="str">
        <f>IFERROR(VLOOKUP(A636,庫存!$A:$I,9,0),"")</f>
        <v/>
      </c>
    </row>
    <row r="637" spans="1:9" ht="23" customHeight="1" x14ac:dyDescent="0.35">
      <c r="A637" s="57"/>
      <c r="B637" s="34" t="str">
        <f>IFERROR(VLOOKUP(A637,庫存!$A:$I,2,0),"")</f>
        <v/>
      </c>
      <c r="C637" s="34" t="str">
        <f>IFERROR(VLOOKUP(A637,庫存!$A:$I,3,0),"")</f>
        <v/>
      </c>
      <c r="D637" s="54"/>
      <c r="E637" s="35" t="str">
        <f t="shared" si="18"/>
        <v/>
      </c>
      <c r="F637" s="45" t="str">
        <f>IFERROR(VLOOKUP(A637,庫存!$A:$I,4,0),"0")</f>
        <v>0</v>
      </c>
      <c r="G637" s="43" t="str">
        <f t="shared" si="19"/>
        <v/>
      </c>
      <c r="H637" s="24" t="str">
        <f>IFERROR(VLOOKUP(A637,庫存!$A:$I,8,0),"")</f>
        <v/>
      </c>
      <c r="I637" s="24" t="str">
        <f>IFERROR(VLOOKUP(A637,庫存!$A:$I,9,0),"")</f>
        <v/>
      </c>
    </row>
    <row r="638" spans="1:9" ht="23" customHeight="1" x14ac:dyDescent="0.35">
      <c r="A638" s="57"/>
      <c r="B638" s="34" t="str">
        <f>IFERROR(VLOOKUP(A638,庫存!$A:$I,2,0),"")</f>
        <v/>
      </c>
      <c r="C638" s="34" t="str">
        <f>IFERROR(VLOOKUP(A638,庫存!$A:$I,3,0),"")</f>
        <v/>
      </c>
      <c r="D638" s="54"/>
      <c r="E638" s="35" t="str">
        <f t="shared" si="18"/>
        <v/>
      </c>
      <c r="F638" s="45" t="str">
        <f>IFERROR(VLOOKUP(A638,庫存!$A:$I,4,0),"0")</f>
        <v>0</v>
      </c>
      <c r="G638" s="43" t="str">
        <f t="shared" si="19"/>
        <v/>
      </c>
      <c r="H638" s="24" t="str">
        <f>IFERROR(VLOOKUP(A638,庫存!$A:$I,8,0),"")</f>
        <v/>
      </c>
      <c r="I638" s="24" t="str">
        <f>IFERROR(VLOOKUP(A638,庫存!$A:$I,9,0),"")</f>
        <v/>
      </c>
    </row>
    <row r="639" spans="1:9" ht="23" customHeight="1" x14ac:dyDescent="0.35">
      <c r="A639" s="57"/>
      <c r="B639" s="34" t="str">
        <f>IFERROR(VLOOKUP(A639,庫存!$A:$I,2,0),"")</f>
        <v/>
      </c>
      <c r="C639" s="34" t="str">
        <f>IFERROR(VLOOKUP(A639,庫存!$A:$I,3,0),"")</f>
        <v/>
      </c>
      <c r="D639" s="54"/>
      <c r="E639" s="35" t="str">
        <f t="shared" si="18"/>
        <v/>
      </c>
      <c r="F639" s="45" t="str">
        <f>IFERROR(VLOOKUP(A639,庫存!$A:$I,4,0),"0")</f>
        <v>0</v>
      </c>
      <c r="G639" s="43" t="str">
        <f t="shared" si="19"/>
        <v/>
      </c>
      <c r="H639" s="24" t="str">
        <f>IFERROR(VLOOKUP(A639,庫存!$A:$I,8,0),"")</f>
        <v/>
      </c>
      <c r="I639" s="24" t="str">
        <f>IFERROR(VLOOKUP(A639,庫存!$A:$I,9,0),"")</f>
        <v/>
      </c>
    </row>
    <row r="640" spans="1:9" ht="23" customHeight="1" x14ac:dyDescent="0.35">
      <c r="A640" s="57"/>
      <c r="B640" s="34" t="str">
        <f>IFERROR(VLOOKUP(A640,庫存!$A:$I,2,0),"")</f>
        <v/>
      </c>
      <c r="C640" s="34" t="str">
        <f>IFERROR(VLOOKUP(A640,庫存!$A:$I,3,0),"")</f>
        <v/>
      </c>
      <c r="D640" s="54"/>
      <c r="E640" s="35" t="str">
        <f t="shared" si="18"/>
        <v/>
      </c>
      <c r="F640" s="45" t="str">
        <f>IFERROR(VLOOKUP(A640,庫存!$A:$I,4,0),"0")</f>
        <v>0</v>
      </c>
      <c r="G640" s="43" t="str">
        <f t="shared" si="19"/>
        <v/>
      </c>
      <c r="H640" s="24" t="str">
        <f>IFERROR(VLOOKUP(A640,庫存!$A:$I,8,0),"")</f>
        <v/>
      </c>
      <c r="I640" s="24" t="str">
        <f>IFERROR(VLOOKUP(A640,庫存!$A:$I,9,0),"")</f>
        <v/>
      </c>
    </row>
    <row r="641" spans="1:9" ht="23" customHeight="1" x14ac:dyDescent="0.35">
      <c r="A641" s="57"/>
      <c r="B641" s="34" t="str">
        <f>IFERROR(VLOOKUP(A641,庫存!$A:$I,2,0),"")</f>
        <v/>
      </c>
      <c r="C641" s="34" t="str">
        <f>IFERROR(VLOOKUP(A641,庫存!$A:$I,3,0),"")</f>
        <v/>
      </c>
      <c r="D641" s="54"/>
      <c r="E641" s="35" t="str">
        <f t="shared" si="18"/>
        <v/>
      </c>
      <c r="F641" s="45" t="str">
        <f>IFERROR(VLOOKUP(A641,庫存!$A:$I,4,0),"0")</f>
        <v>0</v>
      </c>
      <c r="G641" s="43" t="str">
        <f t="shared" si="19"/>
        <v/>
      </c>
      <c r="H641" s="24" t="str">
        <f>IFERROR(VLOOKUP(A641,庫存!$A:$I,8,0),"")</f>
        <v/>
      </c>
      <c r="I641" s="24" t="str">
        <f>IFERROR(VLOOKUP(A641,庫存!$A:$I,9,0),"")</f>
        <v/>
      </c>
    </row>
    <row r="642" spans="1:9" ht="23" customHeight="1" x14ac:dyDescent="0.35">
      <c r="A642" s="57"/>
      <c r="B642" s="34" t="str">
        <f>IFERROR(VLOOKUP(A642,庫存!$A:$I,2,0),"")</f>
        <v/>
      </c>
      <c r="C642" s="34" t="str">
        <f>IFERROR(VLOOKUP(A642,庫存!$A:$I,3,0),"")</f>
        <v/>
      </c>
      <c r="D642" s="54"/>
      <c r="E642" s="35" t="str">
        <f t="shared" ref="E642:E705" si="20">IF(D642*$E$1=0,"",D642*$E$1)</f>
        <v/>
      </c>
      <c r="F642" s="45" t="str">
        <f>IFERROR(VLOOKUP(A642,庫存!$A:$I,4,0),"0")</f>
        <v>0</v>
      </c>
      <c r="G642" s="43" t="str">
        <f t="shared" ref="G642:G705" si="21">IFERROR(F642-E642,"")</f>
        <v/>
      </c>
      <c r="H642" s="24" t="str">
        <f>IFERROR(VLOOKUP(A642,庫存!$A:$I,8,0),"")</f>
        <v/>
      </c>
      <c r="I642" s="24" t="str">
        <f>IFERROR(VLOOKUP(A642,庫存!$A:$I,9,0),"")</f>
        <v/>
      </c>
    </row>
    <row r="643" spans="1:9" ht="23" customHeight="1" x14ac:dyDescent="0.35">
      <c r="A643" s="57"/>
      <c r="B643" s="34" t="str">
        <f>IFERROR(VLOOKUP(A643,庫存!$A:$I,2,0),"")</f>
        <v/>
      </c>
      <c r="C643" s="34" t="str">
        <f>IFERROR(VLOOKUP(A643,庫存!$A:$I,3,0),"")</f>
        <v/>
      </c>
      <c r="D643" s="54"/>
      <c r="E643" s="35" t="str">
        <f t="shared" si="20"/>
        <v/>
      </c>
      <c r="F643" s="45" t="str">
        <f>IFERROR(VLOOKUP(A643,庫存!$A:$I,4,0),"0")</f>
        <v>0</v>
      </c>
      <c r="G643" s="43" t="str">
        <f t="shared" si="21"/>
        <v/>
      </c>
      <c r="H643" s="24" t="str">
        <f>IFERROR(VLOOKUP(A643,庫存!$A:$I,8,0),"")</f>
        <v/>
      </c>
      <c r="I643" s="24" t="str">
        <f>IFERROR(VLOOKUP(A643,庫存!$A:$I,9,0),"")</f>
        <v/>
      </c>
    </row>
    <row r="644" spans="1:9" ht="23" customHeight="1" x14ac:dyDescent="0.35">
      <c r="A644" s="57"/>
      <c r="B644" s="34" t="str">
        <f>IFERROR(VLOOKUP(A644,庫存!$A:$I,2,0),"")</f>
        <v/>
      </c>
      <c r="C644" s="34" t="str">
        <f>IFERROR(VLOOKUP(A644,庫存!$A:$I,3,0),"")</f>
        <v/>
      </c>
      <c r="D644" s="54"/>
      <c r="E644" s="35" t="str">
        <f t="shared" si="20"/>
        <v/>
      </c>
      <c r="F644" s="45" t="str">
        <f>IFERROR(VLOOKUP(A644,庫存!$A:$I,4,0),"0")</f>
        <v>0</v>
      </c>
      <c r="G644" s="43" t="str">
        <f t="shared" si="21"/>
        <v/>
      </c>
      <c r="H644" s="24" t="str">
        <f>IFERROR(VLOOKUP(A644,庫存!$A:$I,8,0),"")</f>
        <v/>
      </c>
      <c r="I644" s="24" t="str">
        <f>IFERROR(VLOOKUP(A644,庫存!$A:$I,9,0),"")</f>
        <v/>
      </c>
    </row>
    <row r="645" spans="1:9" ht="23" customHeight="1" x14ac:dyDescent="0.35">
      <c r="A645" s="57"/>
      <c r="B645" s="34" t="str">
        <f>IFERROR(VLOOKUP(A645,庫存!$A:$I,2,0),"")</f>
        <v/>
      </c>
      <c r="C645" s="34" t="str">
        <f>IFERROR(VLOOKUP(A645,庫存!$A:$I,3,0),"")</f>
        <v/>
      </c>
      <c r="D645" s="54"/>
      <c r="E645" s="35" t="str">
        <f t="shared" si="20"/>
        <v/>
      </c>
      <c r="F645" s="45" t="str">
        <f>IFERROR(VLOOKUP(A645,庫存!$A:$I,4,0),"0")</f>
        <v>0</v>
      </c>
      <c r="G645" s="43" t="str">
        <f t="shared" si="21"/>
        <v/>
      </c>
      <c r="H645" s="24" t="str">
        <f>IFERROR(VLOOKUP(A645,庫存!$A:$I,8,0),"")</f>
        <v/>
      </c>
      <c r="I645" s="24" t="str">
        <f>IFERROR(VLOOKUP(A645,庫存!$A:$I,9,0),"")</f>
        <v/>
      </c>
    </row>
    <row r="646" spans="1:9" ht="23" customHeight="1" x14ac:dyDescent="0.35">
      <c r="A646" s="57"/>
      <c r="B646" s="34" t="str">
        <f>IFERROR(VLOOKUP(A646,庫存!$A:$I,2,0),"")</f>
        <v/>
      </c>
      <c r="C646" s="34" t="str">
        <f>IFERROR(VLOOKUP(A646,庫存!$A:$I,3,0),"")</f>
        <v/>
      </c>
      <c r="D646" s="54"/>
      <c r="E646" s="35" t="str">
        <f t="shared" si="20"/>
        <v/>
      </c>
      <c r="F646" s="45" t="str">
        <f>IFERROR(VLOOKUP(A646,庫存!$A:$I,4,0),"0")</f>
        <v>0</v>
      </c>
      <c r="G646" s="43" t="str">
        <f t="shared" si="21"/>
        <v/>
      </c>
      <c r="H646" s="24" t="str">
        <f>IFERROR(VLOOKUP(A646,庫存!$A:$I,8,0),"")</f>
        <v/>
      </c>
      <c r="I646" s="24" t="str">
        <f>IFERROR(VLOOKUP(A646,庫存!$A:$I,9,0),"")</f>
        <v/>
      </c>
    </row>
    <row r="647" spans="1:9" ht="23" customHeight="1" x14ac:dyDescent="0.35">
      <c r="A647" s="57"/>
      <c r="B647" s="34" t="str">
        <f>IFERROR(VLOOKUP(A647,庫存!$A:$I,2,0),"")</f>
        <v/>
      </c>
      <c r="C647" s="34" t="str">
        <f>IFERROR(VLOOKUP(A647,庫存!$A:$I,3,0),"")</f>
        <v/>
      </c>
      <c r="D647" s="54"/>
      <c r="E647" s="35" t="str">
        <f t="shared" si="20"/>
        <v/>
      </c>
      <c r="F647" s="45" t="str">
        <f>IFERROR(VLOOKUP(A647,庫存!$A:$I,4,0),"0")</f>
        <v>0</v>
      </c>
      <c r="G647" s="43" t="str">
        <f t="shared" si="21"/>
        <v/>
      </c>
      <c r="H647" s="24" t="str">
        <f>IFERROR(VLOOKUP(A647,庫存!$A:$I,8,0),"")</f>
        <v/>
      </c>
      <c r="I647" s="24" t="str">
        <f>IFERROR(VLOOKUP(A647,庫存!$A:$I,9,0),"")</f>
        <v/>
      </c>
    </row>
    <row r="648" spans="1:9" ht="23" customHeight="1" x14ac:dyDescent="0.35">
      <c r="A648" s="57"/>
      <c r="B648" s="34" t="str">
        <f>IFERROR(VLOOKUP(A648,庫存!$A:$I,2,0),"")</f>
        <v/>
      </c>
      <c r="C648" s="34" t="str">
        <f>IFERROR(VLOOKUP(A648,庫存!$A:$I,3,0),"")</f>
        <v/>
      </c>
      <c r="D648" s="54"/>
      <c r="E648" s="35" t="str">
        <f t="shared" si="20"/>
        <v/>
      </c>
      <c r="F648" s="45" t="str">
        <f>IFERROR(VLOOKUP(A648,庫存!$A:$I,4,0),"0")</f>
        <v>0</v>
      </c>
      <c r="G648" s="43" t="str">
        <f t="shared" si="21"/>
        <v/>
      </c>
      <c r="H648" s="24" t="str">
        <f>IFERROR(VLOOKUP(A648,庫存!$A:$I,8,0),"")</f>
        <v/>
      </c>
      <c r="I648" s="24" t="str">
        <f>IFERROR(VLOOKUP(A648,庫存!$A:$I,9,0),"")</f>
        <v/>
      </c>
    </row>
    <row r="649" spans="1:9" ht="23" customHeight="1" x14ac:dyDescent="0.35">
      <c r="A649" s="57"/>
      <c r="B649" s="34" t="str">
        <f>IFERROR(VLOOKUP(A649,庫存!$A:$I,2,0),"")</f>
        <v/>
      </c>
      <c r="C649" s="34" t="str">
        <f>IFERROR(VLOOKUP(A649,庫存!$A:$I,3,0),"")</f>
        <v/>
      </c>
      <c r="D649" s="54"/>
      <c r="E649" s="35" t="str">
        <f t="shared" si="20"/>
        <v/>
      </c>
      <c r="F649" s="45" t="str">
        <f>IFERROR(VLOOKUP(A649,庫存!$A:$I,4,0),"0")</f>
        <v>0</v>
      </c>
      <c r="G649" s="43" t="str">
        <f t="shared" si="21"/>
        <v/>
      </c>
      <c r="H649" s="24" t="str">
        <f>IFERROR(VLOOKUP(A649,庫存!$A:$I,8,0),"")</f>
        <v/>
      </c>
      <c r="I649" s="24" t="str">
        <f>IFERROR(VLOOKUP(A649,庫存!$A:$I,9,0),"")</f>
        <v/>
      </c>
    </row>
    <row r="650" spans="1:9" ht="23" customHeight="1" x14ac:dyDescent="0.35">
      <c r="A650" s="57"/>
      <c r="B650" s="34" t="str">
        <f>IFERROR(VLOOKUP(A650,庫存!$A:$I,2,0),"")</f>
        <v/>
      </c>
      <c r="C650" s="34" t="str">
        <f>IFERROR(VLOOKUP(A650,庫存!$A:$I,3,0),"")</f>
        <v/>
      </c>
      <c r="D650" s="54"/>
      <c r="E650" s="35" t="str">
        <f t="shared" si="20"/>
        <v/>
      </c>
      <c r="F650" s="45" t="str">
        <f>IFERROR(VLOOKUP(A650,庫存!$A:$I,4,0),"0")</f>
        <v>0</v>
      </c>
      <c r="G650" s="43" t="str">
        <f t="shared" si="21"/>
        <v/>
      </c>
      <c r="H650" s="24" t="str">
        <f>IFERROR(VLOOKUP(A650,庫存!$A:$I,8,0),"")</f>
        <v/>
      </c>
      <c r="I650" s="24" t="str">
        <f>IFERROR(VLOOKUP(A650,庫存!$A:$I,9,0),"")</f>
        <v/>
      </c>
    </row>
    <row r="651" spans="1:9" ht="23" customHeight="1" x14ac:dyDescent="0.35">
      <c r="A651" s="57"/>
      <c r="B651" s="34" t="str">
        <f>IFERROR(VLOOKUP(A651,庫存!$A:$I,2,0),"")</f>
        <v/>
      </c>
      <c r="C651" s="34" t="str">
        <f>IFERROR(VLOOKUP(A651,庫存!$A:$I,3,0),"")</f>
        <v/>
      </c>
      <c r="D651" s="54"/>
      <c r="E651" s="35" t="str">
        <f t="shared" si="20"/>
        <v/>
      </c>
      <c r="F651" s="45" t="str">
        <f>IFERROR(VLOOKUP(A651,庫存!$A:$I,4,0),"0")</f>
        <v>0</v>
      </c>
      <c r="G651" s="43" t="str">
        <f t="shared" si="21"/>
        <v/>
      </c>
      <c r="H651" s="24" t="str">
        <f>IFERROR(VLOOKUP(A651,庫存!$A:$I,8,0),"")</f>
        <v/>
      </c>
      <c r="I651" s="24" t="str">
        <f>IFERROR(VLOOKUP(A651,庫存!$A:$I,9,0),"")</f>
        <v/>
      </c>
    </row>
    <row r="652" spans="1:9" ht="23" customHeight="1" x14ac:dyDescent="0.35">
      <c r="A652" s="57"/>
      <c r="B652" s="34" t="str">
        <f>IFERROR(VLOOKUP(A652,庫存!$A:$I,2,0),"")</f>
        <v/>
      </c>
      <c r="C652" s="34" t="str">
        <f>IFERROR(VLOOKUP(A652,庫存!$A:$I,3,0),"")</f>
        <v/>
      </c>
      <c r="D652" s="54"/>
      <c r="E652" s="35" t="str">
        <f t="shared" si="20"/>
        <v/>
      </c>
      <c r="F652" s="45" t="str">
        <f>IFERROR(VLOOKUP(A652,庫存!$A:$I,4,0),"0")</f>
        <v>0</v>
      </c>
      <c r="G652" s="43" t="str">
        <f t="shared" si="21"/>
        <v/>
      </c>
      <c r="H652" s="24" t="str">
        <f>IFERROR(VLOOKUP(A652,庫存!$A:$I,8,0),"")</f>
        <v/>
      </c>
      <c r="I652" s="24" t="str">
        <f>IFERROR(VLOOKUP(A652,庫存!$A:$I,9,0),"")</f>
        <v/>
      </c>
    </row>
    <row r="653" spans="1:9" ht="23" customHeight="1" x14ac:dyDescent="0.35">
      <c r="A653" s="57"/>
      <c r="B653" s="34" t="str">
        <f>IFERROR(VLOOKUP(A653,庫存!$A:$I,2,0),"")</f>
        <v/>
      </c>
      <c r="C653" s="34" t="str">
        <f>IFERROR(VLOOKUP(A653,庫存!$A:$I,3,0),"")</f>
        <v/>
      </c>
      <c r="D653" s="54"/>
      <c r="E653" s="35" t="str">
        <f t="shared" si="20"/>
        <v/>
      </c>
      <c r="F653" s="45" t="str">
        <f>IFERROR(VLOOKUP(A653,庫存!$A:$I,4,0),"0")</f>
        <v>0</v>
      </c>
      <c r="G653" s="43" t="str">
        <f t="shared" si="21"/>
        <v/>
      </c>
      <c r="H653" s="24" t="str">
        <f>IFERROR(VLOOKUP(A653,庫存!$A:$I,8,0),"")</f>
        <v/>
      </c>
      <c r="I653" s="24" t="str">
        <f>IFERROR(VLOOKUP(A653,庫存!$A:$I,9,0),"")</f>
        <v/>
      </c>
    </row>
    <row r="654" spans="1:9" ht="23" customHeight="1" x14ac:dyDescent="0.35">
      <c r="A654" s="57"/>
      <c r="B654" s="34" t="str">
        <f>IFERROR(VLOOKUP(A654,庫存!$A:$I,2,0),"")</f>
        <v/>
      </c>
      <c r="C654" s="34" t="str">
        <f>IFERROR(VLOOKUP(A654,庫存!$A:$I,3,0),"")</f>
        <v/>
      </c>
      <c r="D654" s="54"/>
      <c r="E654" s="35" t="str">
        <f t="shared" si="20"/>
        <v/>
      </c>
      <c r="F654" s="45" t="str">
        <f>IFERROR(VLOOKUP(A654,庫存!$A:$I,4,0),"0")</f>
        <v>0</v>
      </c>
      <c r="G654" s="43" t="str">
        <f t="shared" si="21"/>
        <v/>
      </c>
      <c r="H654" s="24" t="str">
        <f>IFERROR(VLOOKUP(A654,庫存!$A:$I,8,0),"")</f>
        <v/>
      </c>
      <c r="I654" s="24" t="str">
        <f>IFERROR(VLOOKUP(A654,庫存!$A:$I,9,0),"")</f>
        <v/>
      </c>
    </row>
    <row r="655" spans="1:9" ht="23" customHeight="1" x14ac:dyDescent="0.35">
      <c r="A655" s="57"/>
      <c r="B655" s="34" t="str">
        <f>IFERROR(VLOOKUP(A655,庫存!$A:$I,2,0),"")</f>
        <v/>
      </c>
      <c r="C655" s="34" t="str">
        <f>IFERROR(VLOOKUP(A655,庫存!$A:$I,3,0),"")</f>
        <v/>
      </c>
      <c r="D655" s="54"/>
      <c r="E655" s="35" t="str">
        <f t="shared" si="20"/>
        <v/>
      </c>
      <c r="F655" s="45" t="str">
        <f>IFERROR(VLOOKUP(A655,庫存!$A:$I,4,0),"0")</f>
        <v>0</v>
      </c>
      <c r="G655" s="43" t="str">
        <f t="shared" si="21"/>
        <v/>
      </c>
      <c r="H655" s="24" t="str">
        <f>IFERROR(VLOOKUP(A655,庫存!$A:$I,8,0),"")</f>
        <v/>
      </c>
      <c r="I655" s="24" t="str">
        <f>IFERROR(VLOOKUP(A655,庫存!$A:$I,9,0),"")</f>
        <v/>
      </c>
    </row>
    <row r="656" spans="1:9" ht="23" customHeight="1" x14ac:dyDescent="0.35">
      <c r="A656" s="57"/>
      <c r="B656" s="34" t="str">
        <f>IFERROR(VLOOKUP(A656,庫存!$A:$I,2,0),"")</f>
        <v/>
      </c>
      <c r="C656" s="34" t="str">
        <f>IFERROR(VLOOKUP(A656,庫存!$A:$I,3,0),"")</f>
        <v/>
      </c>
      <c r="D656" s="54"/>
      <c r="E656" s="35" t="str">
        <f t="shared" si="20"/>
        <v/>
      </c>
      <c r="F656" s="45" t="str">
        <f>IFERROR(VLOOKUP(A656,庫存!$A:$I,4,0),"0")</f>
        <v>0</v>
      </c>
      <c r="G656" s="43" t="str">
        <f t="shared" si="21"/>
        <v/>
      </c>
      <c r="H656" s="24" t="str">
        <f>IFERROR(VLOOKUP(A656,庫存!$A:$I,8,0),"")</f>
        <v/>
      </c>
      <c r="I656" s="24" t="str">
        <f>IFERROR(VLOOKUP(A656,庫存!$A:$I,9,0),"")</f>
        <v/>
      </c>
    </row>
    <row r="657" spans="1:9" ht="23" customHeight="1" x14ac:dyDescent="0.35">
      <c r="A657" s="57"/>
      <c r="B657" s="34" t="str">
        <f>IFERROR(VLOOKUP(A657,庫存!$A:$I,2,0),"")</f>
        <v/>
      </c>
      <c r="C657" s="34" t="str">
        <f>IFERROR(VLOOKUP(A657,庫存!$A:$I,3,0),"")</f>
        <v/>
      </c>
      <c r="D657" s="54"/>
      <c r="E657" s="35" t="str">
        <f t="shared" si="20"/>
        <v/>
      </c>
      <c r="F657" s="45" t="str">
        <f>IFERROR(VLOOKUP(A657,庫存!$A:$I,4,0),"0")</f>
        <v>0</v>
      </c>
      <c r="G657" s="43" t="str">
        <f t="shared" si="21"/>
        <v/>
      </c>
      <c r="H657" s="24" t="str">
        <f>IFERROR(VLOOKUP(A657,庫存!$A:$I,8,0),"")</f>
        <v/>
      </c>
      <c r="I657" s="24" t="str">
        <f>IFERROR(VLOOKUP(A657,庫存!$A:$I,9,0),"")</f>
        <v/>
      </c>
    </row>
    <row r="658" spans="1:9" ht="23" customHeight="1" x14ac:dyDescent="0.35">
      <c r="A658" s="57"/>
      <c r="B658" s="34" t="str">
        <f>IFERROR(VLOOKUP(A658,庫存!$A:$I,2,0),"")</f>
        <v/>
      </c>
      <c r="C658" s="34" t="str">
        <f>IFERROR(VLOOKUP(A658,庫存!$A:$I,3,0),"")</f>
        <v/>
      </c>
      <c r="D658" s="54"/>
      <c r="E658" s="35" t="str">
        <f t="shared" si="20"/>
        <v/>
      </c>
      <c r="F658" s="45" t="str">
        <f>IFERROR(VLOOKUP(A658,庫存!$A:$I,4,0),"0")</f>
        <v>0</v>
      </c>
      <c r="G658" s="43" t="str">
        <f t="shared" si="21"/>
        <v/>
      </c>
      <c r="H658" s="24" t="str">
        <f>IFERROR(VLOOKUP(A658,庫存!$A:$I,8,0),"")</f>
        <v/>
      </c>
      <c r="I658" s="24" t="str">
        <f>IFERROR(VLOOKUP(A658,庫存!$A:$I,9,0),"")</f>
        <v/>
      </c>
    </row>
    <row r="659" spans="1:9" ht="23" customHeight="1" x14ac:dyDescent="0.35">
      <c r="A659" s="57"/>
      <c r="B659" s="34" t="str">
        <f>IFERROR(VLOOKUP(A659,庫存!$A:$I,2,0),"")</f>
        <v/>
      </c>
      <c r="C659" s="34" t="str">
        <f>IFERROR(VLOOKUP(A659,庫存!$A:$I,3,0),"")</f>
        <v/>
      </c>
      <c r="D659" s="54"/>
      <c r="E659" s="35" t="str">
        <f t="shared" si="20"/>
        <v/>
      </c>
      <c r="F659" s="45" t="str">
        <f>IFERROR(VLOOKUP(A659,庫存!$A:$I,4,0),"0")</f>
        <v>0</v>
      </c>
      <c r="G659" s="43" t="str">
        <f t="shared" si="21"/>
        <v/>
      </c>
      <c r="H659" s="24" t="str">
        <f>IFERROR(VLOOKUP(A659,庫存!$A:$I,8,0),"")</f>
        <v/>
      </c>
      <c r="I659" s="24" t="str">
        <f>IFERROR(VLOOKUP(A659,庫存!$A:$I,9,0),"")</f>
        <v/>
      </c>
    </row>
    <row r="660" spans="1:9" ht="23" customHeight="1" x14ac:dyDescent="0.35">
      <c r="A660" s="57"/>
      <c r="B660" s="34" t="str">
        <f>IFERROR(VLOOKUP(A660,庫存!$A:$I,2,0),"")</f>
        <v/>
      </c>
      <c r="C660" s="34" t="str">
        <f>IFERROR(VLOOKUP(A660,庫存!$A:$I,3,0),"")</f>
        <v/>
      </c>
      <c r="D660" s="54"/>
      <c r="E660" s="35" t="str">
        <f t="shared" si="20"/>
        <v/>
      </c>
      <c r="F660" s="45" t="str">
        <f>IFERROR(VLOOKUP(A660,庫存!$A:$I,4,0),"0")</f>
        <v>0</v>
      </c>
      <c r="G660" s="43" t="str">
        <f t="shared" si="21"/>
        <v/>
      </c>
      <c r="H660" s="24" t="str">
        <f>IFERROR(VLOOKUP(A660,庫存!$A:$I,8,0),"")</f>
        <v/>
      </c>
      <c r="I660" s="24" t="str">
        <f>IFERROR(VLOOKUP(A660,庫存!$A:$I,9,0),"")</f>
        <v/>
      </c>
    </row>
    <row r="661" spans="1:9" ht="23" customHeight="1" x14ac:dyDescent="0.35">
      <c r="A661" s="57"/>
      <c r="B661" s="34" t="str">
        <f>IFERROR(VLOOKUP(A661,庫存!$A:$I,2,0),"")</f>
        <v/>
      </c>
      <c r="C661" s="34" t="str">
        <f>IFERROR(VLOOKUP(A661,庫存!$A:$I,3,0),"")</f>
        <v/>
      </c>
      <c r="D661" s="54"/>
      <c r="E661" s="35" t="str">
        <f t="shared" si="20"/>
        <v/>
      </c>
      <c r="F661" s="45" t="str">
        <f>IFERROR(VLOOKUP(A661,庫存!$A:$I,4,0),"0")</f>
        <v>0</v>
      </c>
      <c r="G661" s="43" t="str">
        <f t="shared" si="21"/>
        <v/>
      </c>
      <c r="H661" s="24" t="str">
        <f>IFERROR(VLOOKUP(A661,庫存!$A:$I,8,0),"")</f>
        <v/>
      </c>
      <c r="I661" s="24" t="str">
        <f>IFERROR(VLOOKUP(A661,庫存!$A:$I,9,0),"")</f>
        <v/>
      </c>
    </row>
    <row r="662" spans="1:9" ht="23" customHeight="1" x14ac:dyDescent="0.35">
      <c r="A662" s="57"/>
      <c r="B662" s="34" t="str">
        <f>IFERROR(VLOOKUP(A662,庫存!$A:$I,2,0),"")</f>
        <v/>
      </c>
      <c r="C662" s="34" t="str">
        <f>IFERROR(VLOOKUP(A662,庫存!$A:$I,3,0),"")</f>
        <v/>
      </c>
      <c r="D662" s="54"/>
      <c r="E662" s="35" t="str">
        <f t="shared" si="20"/>
        <v/>
      </c>
      <c r="F662" s="45" t="str">
        <f>IFERROR(VLOOKUP(A662,庫存!$A:$I,4,0),"0")</f>
        <v>0</v>
      </c>
      <c r="G662" s="43" t="str">
        <f t="shared" si="21"/>
        <v/>
      </c>
      <c r="H662" s="24" t="str">
        <f>IFERROR(VLOOKUP(A662,庫存!$A:$I,8,0),"")</f>
        <v/>
      </c>
      <c r="I662" s="24" t="str">
        <f>IFERROR(VLOOKUP(A662,庫存!$A:$I,9,0),"")</f>
        <v/>
      </c>
    </row>
    <row r="663" spans="1:9" ht="23" customHeight="1" x14ac:dyDescent="0.35">
      <c r="A663" s="57"/>
      <c r="B663" s="34" t="str">
        <f>IFERROR(VLOOKUP(A663,庫存!$A:$I,2,0),"")</f>
        <v/>
      </c>
      <c r="C663" s="34" t="str">
        <f>IFERROR(VLOOKUP(A663,庫存!$A:$I,3,0),"")</f>
        <v/>
      </c>
      <c r="D663" s="54"/>
      <c r="E663" s="35" t="str">
        <f t="shared" si="20"/>
        <v/>
      </c>
      <c r="F663" s="45" t="str">
        <f>IFERROR(VLOOKUP(A663,庫存!$A:$I,4,0),"0")</f>
        <v>0</v>
      </c>
      <c r="G663" s="43" t="str">
        <f t="shared" si="21"/>
        <v/>
      </c>
      <c r="H663" s="24" t="str">
        <f>IFERROR(VLOOKUP(A663,庫存!$A:$I,8,0),"")</f>
        <v/>
      </c>
      <c r="I663" s="24" t="str">
        <f>IFERROR(VLOOKUP(A663,庫存!$A:$I,9,0),"")</f>
        <v/>
      </c>
    </row>
    <row r="664" spans="1:9" ht="23" customHeight="1" x14ac:dyDescent="0.35">
      <c r="A664" s="57"/>
      <c r="B664" s="34" t="str">
        <f>IFERROR(VLOOKUP(A664,庫存!$A:$I,2,0),"")</f>
        <v/>
      </c>
      <c r="C664" s="34" t="str">
        <f>IFERROR(VLOOKUP(A664,庫存!$A:$I,3,0),"")</f>
        <v/>
      </c>
      <c r="D664" s="54"/>
      <c r="E664" s="35" t="str">
        <f t="shared" si="20"/>
        <v/>
      </c>
      <c r="F664" s="45" t="str">
        <f>IFERROR(VLOOKUP(A664,庫存!$A:$I,4,0),"0")</f>
        <v>0</v>
      </c>
      <c r="G664" s="43" t="str">
        <f t="shared" si="21"/>
        <v/>
      </c>
      <c r="H664" s="24" t="str">
        <f>IFERROR(VLOOKUP(A664,庫存!$A:$I,8,0),"")</f>
        <v/>
      </c>
      <c r="I664" s="24" t="str">
        <f>IFERROR(VLOOKUP(A664,庫存!$A:$I,9,0),"")</f>
        <v/>
      </c>
    </row>
    <row r="665" spans="1:9" ht="23" customHeight="1" x14ac:dyDescent="0.35">
      <c r="A665" s="57"/>
      <c r="B665" s="34" t="str">
        <f>IFERROR(VLOOKUP(A665,庫存!$A:$I,2,0),"")</f>
        <v/>
      </c>
      <c r="C665" s="34" t="str">
        <f>IFERROR(VLOOKUP(A665,庫存!$A:$I,3,0),"")</f>
        <v/>
      </c>
      <c r="D665" s="54"/>
      <c r="E665" s="35" t="str">
        <f t="shared" si="20"/>
        <v/>
      </c>
      <c r="F665" s="45" t="str">
        <f>IFERROR(VLOOKUP(A665,庫存!$A:$I,4,0),"0")</f>
        <v>0</v>
      </c>
      <c r="G665" s="43" t="str">
        <f t="shared" si="21"/>
        <v/>
      </c>
      <c r="H665" s="24" t="str">
        <f>IFERROR(VLOOKUP(A665,庫存!$A:$I,8,0),"")</f>
        <v/>
      </c>
      <c r="I665" s="24" t="str">
        <f>IFERROR(VLOOKUP(A665,庫存!$A:$I,9,0),"")</f>
        <v/>
      </c>
    </row>
    <row r="666" spans="1:9" ht="23" customHeight="1" x14ac:dyDescent="0.35">
      <c r="A666" s="57"/>
      <c r="B666" s="34" t="str">
        <f>IFERROR(VLOOKUP(A666,庫存!$A:$I,2,0),"")</f>
        <v/>
      </c>
      <c r="C666" s="34" t="str">
        <f>IFERROR(VLOOKUP(A666,庫存!$A:$I,3,0),"")</f>
        <v/>
      </c>
      <c r="D666" s="54"/>
      <c r="E666" s="35" t="str">
        <f t="shared" si="20"/>
        <v/>
      </c>
      <c r="F666" s="45" t="str">
        <f>IFERROR(VLOOKUP(A666,庫存!$A:$I,4,0),"0")</f>
        <v>0</v>
      </c>
      <c r="G666" s="43" t="str">
        <f t="shared" si="21"/>
        <v/>
      </c>
      <c r="H666" s="24" t="str">
        <f>IFERROR(VLOOKUP(A666,庫存!$A:$I,8,0),"")</f>
        <v/>
      </c>
      <c r="I666" s="24" t="str">
        <f>IFERROR(VLOOKUP(A666,庫存!$A:$I,9,0),"")</f>
        <v/>
      </c>
    </row>
    <row r="667" spans="1:9" ht="23" customHeight="1" x14ac:dyDescent="0.35">
      <c r="A667" s="57"/>
      <c r="B667" s="34" t="str">
        <f>IFERROR(VLOOKUP(A667,庫存!$A:$I,2,0),"")</f>
        <v/>
      </c>
      <c r="C667" s="34" t="str">
        <f>IFERROR(VLOOKUP(A667,庫存!$A:$I,3,0),"")</f>
        <v/>
      </c>
      <c r="D667" s="54"/>
      <c r="E667" s="35" t="str">
        <f t="shared" si="20"/>
        <v/>
      </c>
      <c r="F667" s="45" t="str">
        <f>IFERROR(VLOOKUP(A667,庫存!$A:$I,4,0),"0")</f>
        <v>0</v>
      </c>
      <c r="G667" s="43" t="str">
        <f t="shared" si="21"/>
        <v/>
      </c>
      <c r="H667" s="24" t="str">
        <f>IFERROR(VLOOKUP(A667,庫存!$A:$I,8,0),"")</f>
        <v/>
      </c>
      <c r="I667" s="24" t="str">
        <f>IFERROR(VLOOKUP(A667,庫存!$A:$I,9,0),"")</f>
        <v/>
      </c>
    </row>
    <row r="668" spans="1:9" ht="23" customHeight="1" x14ac:dyDescent="0.35">
      <c r="A668" s="57"/>
      <c r="B668" s="34" t="str">
        <f>IFERROR(VLOOKUP(A668,庫存!$A:$I,2,0),"")</f>
        <v/>
      </c>
      <c r="C668" s="34" t="str">
        <f>IFERROR(VLOOKUP(A668,庫存!$A:$I,3,0),"")</f>
        <v/>
      </c>
      <c r="D668" s="54"/>
      <c r="E668" s="35" t="str">
        <f t="shared" si="20"/>
        <v/>
      </c>
      <c r="F668" s="45" t="str">
        <f>IFERROR(VLOOKUP(A668,庫存!$A:$I,4,0),"0")</f>
        <v>0</v>
      </c>
      <c r="G668" s="43" t="str">
        <f t="shared" si="21"/>
        <v/>
      </c>
      <c r="H668" s="24" t="str">
        <f>IFERROR(VLOOKUP(A668,庫存!$A:$I,8,0),"")</f>
        <v/>
      </c>
      <c r="I668" s="24" t="str">
        <f>IFERROR(VLOOKUP(A668,庫存!$A:$I,9,0),"")</f>
        <v/>
      </c>
    </row>
    <row r="669" spans="1:9" ht="23" customHeight="1" x14ac:dyDescent="0.35">
      <c r="A669" s="57"/>
      <c r="B669" s="34" t="str">
        <f>IFERROR(VLOOKUP(A669,庫存!$A:$I,2,0),"")</f>
        <v/>
      </c>
      <c r="C669" s="34" t="str">
        <f>IFERROR(VLOOKUP(A669,庫存!$A:$I,3,0),"")</f>
        <v/>
      </c>
      <c r="D669" s="54"/>
      <c r="E669" s="35" t="str">
        <f t="shared" si="20"/>
        <v/>
      </c>
      <c r="F669" s="45" t="str">
        <f>IFERROR(VLOOKUP(A669,庫存!$A:$I,4,0),"0")</f>
        <v>0</v>
      </c>
      <c r="G669" s="43" t="str">
        <f t="shared" si="21"/>
        <v/>
      </c>
      <c r="H669" s="24" t="str">
        <f>IFERROR(VLOOKUP(A669,庫存!$A:$I,8,0),"")</f>
        <v/>
      </c>
      <c r="I669" s="24" t="str">
        <f>IFERROR(VLOOKUP(A669,庫存!$A:$I,9,0),"")</f>
        <v/>
      </c>
    </row>
    <row r="670" spans="1:9" ht="23" customHeight="1" x14ac:dyDescent="0.35">
      <c r="A670" s="57"/>
      <c r="B670" s="34" t="str">
        <f>IFERROR(VLOOKUP(A670,庫存!$A:$I,2,0),"")</f>
        <v/>
      </c>
      <c r="C670" s="34" t="str">
        <f>IFERROR(VLOOKUP(A670,庫存!$A:$I,3,0),"")</f>
        <v/>
      </c>
      <c r="D670" s="54"/>
      <c r="E670" s="35" t="str">
        <f t="shared" si="20"/>
        <v/>
      </c>
      <c r="F670" s="45" t="str">
        <f>IFERROR(VLOOKUP(A670,庫存!$A:$I,4,0),"0")</f>
        <v>0</v>
      </c>
      <c r="G670" s="43" t="str">
        <f t="shared" si="21"/>
        <v/>
      </c>
      <c r="H670" s="24" t="str">
        <f>IFERROR(VLOOKUP(A670,庫存!$A:$I,8,0),"")</f>
        <v/>
      </c>
      <c r="I670" s="24" t="str">
        <f>IFERROR(VLOOKUP(A670,庫存!$A:$I,9,0),"")</f>
        <v/>
      </c>
    </row>
    <row r="671" spans="1:9" ht="23" customHeight="1" x14ac:dyDescent="0.35">
      <c r="A671" s="57"/>
      <c r="B671" s="34" t="str">
        <f>IFERROR(VLOOKUP(A671,庫存!$A:$I,2,0),"")</f>
        <v/>
      </c>
      <c r="C671" s="34" t="str">
        <f>IFERROR(VLOOKUP(A671,庫存!$A:$I,3,0),"")</f>
        <v/>
      </c>
      <c r="D671" s="54"/>
      <c r="E671" s="35" t="str">
        <f t="shared" si="20"/>
        <v/>
      </c>
      <c r="F671" s="45" t="str">
        <f>IFERROR(VLOOKUP(A671,庫存!$A:$I,4,0),"0")</f>
        <v>0</v>
      </c>
      <c r="G671" s="43" t="str">
        <f t="shared" si="21"/>
        <v/>
      </c>
      <c r="H671" s="24" t="str">
        <f>IFERROR(VLOOKUP(A671,庫存!$A:$I,8,0),"")</f>
        <v/>
      </c>
      <c r="I671" s="24" t="str">
        <f>IFERROR(VLOOKUP(A671,庫存!$A:$I,9,0),"")</f>
        <v/>
      </c>
    </row>
    <row r="672" spans="1:9" ht="23" customHeight="1" x14ac:dyDescent="0.35">
      <c r="A672" s="57"/>
      <c r="B672" s="34" t="str">
        <f>IFERROR(VLOOKUP(A672,庫存!$A:$I,2,0),"")</f>
        <v/>
      </c>
      <c r="C672" s="34" t="str">
        <f>IFERROR(VLOOKUP(A672,庫存!$A:$I,3,0),"")</f>
        <v/>
      </c>
      <c r="D672" s="54"/>
      <c r="E672" s="35" t="str">
        <f t="shared" si="20"/>
        <v/>
      </c>
      <c r="F672" s="45" t="str">
        <f>IFERROR(VLOOKUP(A672,庫存!$A:$I,4,0),"0")</f>
        <v>0</v>
      </c>
      <c r="G672" s="43" t="str">
        <f t="shared" si="21"/>
        <v/>
      </c>
      <c r="H672" s="24" t="str">
        <f>IFERROR(VLOOKUP(A672,庫存!$A:$I,8,0),"")</f>
        <v/>
      </c>
      <c r="I672" s="24" t="str">
        <f>IFERROR(VLOOKUP(A672,庫存!$A:$I,9,0),"")</f>
        <v/>
      </c>
    </row>
    <row r="673" spans="1:9" ht="23" customHeight="1" x14ac:dyDescent="0.35">
      <c r="A673" s="57"/>
      <c r="B673" s="34" t="str">
        <f>IFERROR(VLOOKUP(A673,庫存!$A:$I,2,0),"")</f>
        <v/>
      </c>
      <c r="C673" s="34" t="str">
        <f>IFERROR(VLOOKUP(A673,庫存!$A:$I,3,0),"")</f>
        <v/>
      </c>
      <c r="D673" s="54"/>
      <c r="E673" s="35" t="str">
        <f t="shared" si="20"/>
        <v/>
      </c>
      <c r="F673" s="45" t="str">
        <f>IFERROR(VLOOKUP(A673,庫存!$A:$I,4,0),"0")</f>
        <v>0</v>
      </c>
      <c r="G673" s="43" t="str">
        <f t="shared" si="21"/>
        <v/>
      </c>
      <c r="H673" s="24" t="str">
        <f>IFERROR(VLOOKUP(A673,庫存!$A:$I,8,0),"")</f>
        <v/>
      </c>
      <c r="I673" s="24" t="str">
        <f>IFERROR(VLOOKUP(A673,庫存!$A:$I,9,0),"")</f>
        <v/>
      </c>
    </row>
    <row r="674" spans="1:9" ht="23" customHeight="1" x14ac:dyDescent="0.35">
      <c r="A674" s="57"/>
      <c r="B674" s="34" t="str">
        <f>IFERROR(VLOOKUP(A674,庫存!$A:$I,2,0),"")</f>
        <v/>
      </c>
      <c r="C674" s="34" t="str">
        <f>IFERROR(VLOOKUP(A674,庫存!$A:$I,3,0),"")</f>
        <v/>
      </c>
      <c r="D674" s="54"/>
      <c r="E674" s="35" t="str">
        <f t="shared" si="20"/>
        <v/>
      </c>
      <c r="F674" s="45" t="str">
        <f>IFERROR(VLOOKUP(A674,庫存!$A:$I,4,0),"0")</f>
        <v>0</v>
      </c>
      <c r="G674" s="43" t="str">
        <f t="shared" si="21"/>
        <v/>
      </c>
      <c r="H674" s="24" t="str">
        <f>IFERROR(VLOOKUP(A674,庫存!$A:$I,8,0),"")</f>
        <v/>
      </c>
      <c r="I674" s="24" t="str">
        <f>IFERROR(VLOOKUP(A674,庫存!$A:$I,9,0),"")</f>
        <v/>
      </c>
    </row>
    <row r="675" spans="1:9" ht="23" customHeight="1" x14ac:dyDescent="0.35">
      <c r="A675" s="57"/>
      <c r="B675" s="34" t="str">
        <f>IFERROR(VLOOKUP(A675,庫存!$A:$I,2,0),"")</f>
        <v/>
      </c>
      <c r="C675" s="34" t="str">
        <f>IFERROR(VLOOKUP(A675,庫存!$A:$I,3,0),"")</f>
        <v/>
      </c>
      <c r="D675" s="54"/>
      <c r="E675" s="35" t="str">
        <f t="shared" si="20"/>
        <v/>
      </c>
      <c r="F675" s="45" t="str">
        <f>IFERROR(VLOOKUP(A675,庫存!$A:$I,4,0),"0")</f>
        <v>0</v>
      </c>
      <c r="G675" s="43" t="str">
        <f t="shared" si="21"/>
        <v/>
      </c>
      <c r="H675" s="24" t="str">
        <f>IFERROR(VLOOKUP(A675,庫存!$A:$I,8,0),"")</f>
        <v/>
      </c>
      <c r="I675" s="24" t="str">
        <f>IFERROR(VLOOKUP(A675,庫存!$A:$I,9,0),"")</f>
        <v/>
      </c>
    </row>
    <row r="676" spans="1:9" ht="23" customHeight="1" x14ac:dyDescent="0.35">
      <c r="A676" s="57"/>
      <c r="B676" s="34" t="str">
        <f>IFERROR(VLOOKUP(A676,庫存!$A:$I,2,0),"")</f>
        <v/>
      </c>
      <c r="C676" s="34" t="str">
        <f>IFERROR(VLOOKUP(A676,庫存!$A:$I,3,0),"")</f>
        <v/>
      </c>
      <c r="D676" s="54"/>
      <c r="E676" s="35" t="str">
        <f t="shared" si="20"/>
        <v/>
      </c>
      <c r="F676" s="45" t="str">
        <f>IFERROR(VLOOKUP(A676,庫存!$A:$I,4,0),"0")</f>
        <v>0</v>
      </c>
      <c r="G676" s="43" t="str">
        <f t="shared" si="21"/>
        <v/>
      </c>
      <c r="H676" s="24" t="str">
        <f>IFERROR(VLOOKUP(A676,庫存!$A:$I,8,0),"")</f>
        <v/>
      </c>
      <c r="I676" s="24" t="str">
        <f>IFERROR(VLOOKUP(A676,庫存!$A:$I,9,0),"")</f>
        <v/>
      </c>
    </row>
    <row r="677" spans="1:9" ht="23" customHeight="1" x14ac:dyDescent="0.35">
      <c r="A677" s="57"/>
      <c r="B677" s="34" t="str">
        <f>IFERROR(VLOOKUP(A677,庫存!$A:$I,2,0),"")</f>
        <v/>
      </c>
      <c r="C677" s="34" t="str">
        <f>IFERROR(VLOOKUP(A677,庫存!$A:$I,3,0),"")</f>
        <v/>
      </c>
      <c r="D677" s="54"/>
      <c r="E677" s="35" t="str">
        <f t="shared" si="20"/>
        <v/>
      </c>
      <c r="F677" s="45" t="str">
        <f>IFERROR(VLOOKUP(A677,庫存!$A:$I,4,0),"0")</f>
        <v>0</v>
      </c>
      <c r="G677" s="43" t="str">
        <f t="shared" si="21"/>
        <v/>
      </c>
      <c r="H677" s="24" t="str">
        <f>IFERROR(VLOOKUP(A677,庫存!$A:$I,8,0),"")</f>
        <v/>
      </c>
      <c r="I677" s="24" t="str">
        <f>IFERROR(VLOOKUP(A677,庫存!$A:$I,9,0),"")</f>
        <v/>
      </c>
    </row>
    <row r="678" spans="1:9" ht="23" customHeight="1" x14ac:dyDescent="0.35">
      <c r="A678" s="57"/>
      <c r="B678" s="34" t="str">
        <f>IFERROR(VLOOKUP(A678,庫存!$A:$I,2,0),"")</f>
        <v/>
      </c>
      <c r="C678" s="34" t="str">
        <f>IFERROR(VLOOKUP(A678,庫存!$A:$I,3,0),"")</f>
        <v/>
      </c>
      <c r="D678" s="54"/>
      <c r="E678" s="35" t="str">
        <f t="shared" si="20"/>
        <v/>
      </c>
      <c r="F678" s="45" t="str">
        <f>IFERROR(VLOOKUP(A678,庫存!$A:$I,4,0),"0")</f>
        <v>0</v>
      </c>
      <c r="G678" s="43" t="str">
        <f t="shared" si="21"/>
        <v/>
      </c>
      <c r="H678" s="24" t="str">
        <f>IFERROR(VLOOKUP(A678,庫存!$A:$I,8,0),"")</f>
        <v/>
      </c>
      <c r="I678" s="24" t="str">
        <f>IFERROR(VLOOKUP(A678,庫存!$A:$I,9,0),"")</f>
        <v/>
      </c>
    </row>
    <row r="679" spans="1:9" ht="23" customHeight="1" x14ac:dyDescent="0.35">
      <c r="A679" s="57"/>
      <c r="B679" s="34" t="str">
        <f>IFERROR(VLOOKUP(A679,庫存!$A:$I,2,0),"")</f>
        <v/>
      </c>
      <c r="C679" s="34" t="str">
        <f>IFERROR(VLOOKUP(A679,庫存!$A:$I,3,0),"")</f>
        <v/>
      </c>
      <c r="D679" s="54"/>
      <c r="E679" s="35" t="str">
        <f t="shared" si="20"/>
        <v/>
      </c>
      <c r="F679" s="45" t="str">
        <f>IFERROR(VLOOKUP(A679,庫存!$A:$I,4,0),"0")</f>
        <v>0</v>
      </c>
      <c r="G679" s="43" t="str">
        <f t="shared" si="21"/>
        <v/>
      </c>
      <c r="H679" s="24" t="str">
        <f>IFERROR(VLOOKUP(A679,庫存!$A:$I,8,0),"")</f>
        <v/>
      </c>
      <c r="I679" s="24" t="str">
        <f>IFERROR(VLOOKUP(A679,庫存!$A:$I,9,0),"")</f>
        <v/>
      </c>
    </row>
    <row r="680" spans="1:9" ht="23" customHeight="1" x14ac:dyDescent="0.35">
      <c r="A680" s="57"/>
      <c r="B680" s="34" t="str">
        <f>IFERROR(VLOOKUP(A680,庫存!$A:$I,2,0),"")</f>
        <v/>
      </c>
      <c r="C680" s="34" t="str">
        <f>IFERROR(VLOOKUP(A680,庫存!$A:$I,3,0),"")</f>
        <v/>
      </c>
      <c r="D680" s="54"/>
      <c r="E680" s="35" t="str">
        <f t="shared" si="20"/>
        <v/>
      </c>
      <c r="F680" s="45" t="str">
        <f>IFERROR(VLOOKUP(A680,庫存!$A:$I,4,0),"0")</f>
        <v>0</v>
      </c>
      <c r="G680" s="43" t="str">
        <f t="shared" si="21"/>
        <v/>
      </c>
      <c r="H680" s="24" t="str">
        <f>IFERROR(VLOOKUP(A680,庫存!$A:$I,8,0),"")</f>
        <v/>
      </c>
      <c r="I680" s="24" t="str">
        <f>IFERROR(VLOOKUP(A680,庫存!$A:$I,9,0),"")</f>
        <v/>
      </c>
    </row>
    <row r="681" spans="1:9" ht="23" customHeight="1" x14ac:dyDescent="0.35">
      <c r="A681" s="57"/>
      <c r="B681" s="34" t="str">
        <f>IFERROR(VLOOKUP(A681,庫存!$A:$I,2,0),"")</f>
        <v/>
      </c>
      <c r="C681" s="34" t="str">
        <f>IFERROR(VLOOKUP(A681,庫存!$A:$I,3,0),"")</f>
        <v/>
      </c>
      <c r="D681" s="54"/>
      <c r="E681" s="35" t="str">
        <f t="shared" si="20"/>
        <v/>
      </c>
      <c r="F681" s="45" t="str">
        <f>IFERROR(VLOOKUP(A681,庫存!$A:$I,4,0),"0")</f>
        <v>0</v>
      </c>
      <c r="G681" s="43" t="str">
        <f t="shared" si="21"/>
        <v/>
      </c>
      <c r="H681" s="24" t="str">
        <f>IFERROR(VLOOKUP(A681,庫存!$A:$I,8,0),"")</f>
        <v/>
      </c>
      <c r="I681" s="24" t="str">
        <f>IFERROR(VLOOKUP(A681,庫存!$A:$I,9,0),"")</f>
        <v/>
      </c>
    </row>
    <row r="682" spans="1:9" ht="23" customHeight="1" x14ac:dyDescent="0.35">
      <c r="A682" s="57"/>
      <c r="B682" s="34" t="str">
        <f>IFERROR(VLOOKUP(A682,庫存!$A:$I,2,0),"")</f>
        <v/>
      </c>
      <c r="C682" s="34" t="str">
        <f>IFERROR(VLOOKUP(A682,庫存!$A:$I,3,0),"")</f>
        <v/>
      </c>
      <c r="D682" s="54"/>
      <c r="E682" s="35" t="str">
        <f t="shared" si="20"/>
        <v/>
      </c>
      <c r="F682" s="45" t="str">
        <f>IFERROR(VLOOKUP(A682,庫存!$A:$I,4,0),"0")</f>
        <v>0</v>
      </c>
      <c r="G682" s="43" t="str">
        <f t="shared" si="21"/>
        <v/>
      </c>
      <c r="H682" s="24" t="str">
        <f>IFERROR(VLOOKUP(A682,庫存!$A:$I,8,0),"")</f>
        <v/>
      </c>
      <c r="I682" s="24" t="str">
        <f>IFERROR(VLOOKUP(A682,庫存!$A:$I,9,0),"")</f>
        <v/>
      </c>
    </row>
    <row r="683" spans="1:9" ht="23" customHeight="1" x14ac:dyDescent="0.35">
      <c r="A683" s="57"/>
      <c r="B683" s="34" t="str">
        <f>IFERROR(VLOOKUP(A683,庫存!$A:$I,2,0),"")</f>
        <v/>
      </c>
      <c r="C683" s="34" t="str">
        <f>IFERROR(VLOOKUP(A683,庫存!$A:$I,3,0),"")</f>
        <v/>
      </c>
      <c r="D683" s="54"/>
      <c r="E683" s="35" t="str">
        <f t="shared" si="20"/>
        <v/>
      </c>
      <c r="F683" s="45" t="str">
        <f>IFERROR(VLOOKUP(A683,庫存!$A:$I,4,0),"0")</f>
        <v>0</v>
      </c>
      <c r="G683" s="43" t="str">
        <f t="shared" si="21"/>
        <v/>
      </c>
      <c r="H683" s="24" t="str">
        <f>IFERROR(VLOOKUP(A683,庫存!$A:$I,8,0),"")</f>
        <v/>
      </c>
      <c r="I683" s="24" t="str">
        <f>IFERROR(VLOOKUP(A683,庫存!$A:$I,9,0),"")</f>
        <v/>
      </c>
    </row>
    <row r="684" spans="1:9" ht="23" customHeight="1" x14ac:dyDescent="0.35">
      <c r="A684" s="57"/>
      <c r="B684" s="34" t="str">
        <f>IFERROR(VLOOKUP(A684,庫存!$A:$I,2,0),"")</f>
        <v/>
      </c>
      <c r="C684" s="34" t="str">
        <f>IFERROR(VLOOKUP(A684,庫存!$A:$I,3,0),"")</f>
        <v/>
      </c>
      <c r="D684" s="54"/>
      <c r="E684" s="35" t="str">
        <f t="shared" si="20"/>
        <v/>
      </c>
      <c r="F684" s="45" t="str">
        <f>IFERROR(VLOOKUP(A684,庫存!$A:$I,4,0),"0")</f>
        <v>0</v>
      </c>
      <c r="G684" s="43" t="str">
        <f t="shared" si="21"/>
        <v/>
      </c>
      <c r="H684" s="24" t="str">
        <f>IFERROR(VLOOKUP(A684,庫存!$A:$I,8,0),"")</f>
        <v/>
      </c>
      <c r="I684" s="24" t="str">
        <f>IFERROR(VLOOKUP(A684,庫存!$A:$I,9,0),"")</f>
        <v/>
      </c>
    </row>
    <row r="685" spans="1:9" ht="23" customHeight="1" x14ac:dyDescent="0.35">
      <c r="A685" s="57"/>
      <c r="B685" s="34" t="str">
        <f>IFERROR(VLOOKUP(A685,庫存!$A:$I,2,0),"")</f>
        <v/>
      </c>
      <c r="C685" s="34" t="str">
        <f>IFERROR(VLOOKUP(A685,庫存!$A:$I,3,0),"")</f>
        <v/>
      </c>
      <c r="D685" s="54"/>
      <c r="E685" s="35" t="str">
        <f t="shared" si="20"/>
        <v/>
      </c>
      <c r="F685" s="45" t="str">
        <f>IFERROR(VLOOKUP(A685,庫存!$A:$I,4,0),"0")</f>
        <v>0</v>
      </c>
      <c r="G685" s="43" t="str">
        <f t="shared" si="21"/>
        <v/>
      </c>
      <c r="H685" s="24" t="str">
        <f>IFERROR(VLOOKUP(A685,庫存!$A:$I,8,0),"")</f>
        <v/>
      </c>
      <c r="I685" s="24" t="str">
        <f>IFERROR(VLOOKUP(A685,庫存!$A:$I,9,0),"")</f>
        <v/>
      </c>
    </row>
    <row r="686" spans="1:9" ht="23" customHeight="1" x14ac:dyDescent="0.35">
      <c r="A686" s="57"/>
      <c r="B686" s="34" t="str">
        <f>IFERROR(VLOOKUP(A686,庫存!$A:$I,2,0),"")</f>
        <v/>
      </c>
      <c r="C686" s="34" t="str">
        <f>IFERROR(VLOOKUP(A686,庫存!$A:$I,3,0),"")</f>
        <v/>
      </c>
      <c r="D686" s="54"/>
      <c r="E686" s="35" t="str">
        <f t="shared" si="20"/>
        <v/>
      </c>
      <c r="F686" s="45" t="str">
        <f>IFERROR(VLOOKUP(A686,庫存!$A:$I,4,0),"0")</f>
        <v>0</v>
      </c>
      <c r="G686" s="43" t="str">
        <f t="shared" si="21"/>
        <v/>
      </c>
      <c r="H686" s="24" t="str">
        <f>IFERROR(VLOOKUP(A686,庫存!$A:$I,8,0),"")</f>
        <v/>
      </c>
      <c r="I686" s="24" t="str">
        <f>IFERROR(VLOOKUP(A686,庫存!$A:$I,9,0),"")</f>
        <v/>
      </c>
    </row>
    <row r="687" spans="1:9" ht="23" customHeight="1" x14ac:dyDescent="0.35">
      <c r="A687" s="57"/>
      <c r="B687" s="34" t="str">
        <f>IFERROR(VLOOKUP(A687,庫存!$A:$I,2,0),"")</f>
        <v/>
      </c>
      <c r="C687" s="34" t="str">
        <f>IFERROR(VLOOKUP(A687,庫存!$A:$I,3,0),"")</f>
        <v/>
      </c>
      <c r="D687" s="54"/>
      <c r="E687" s="35" t="str">
        <f t="shared" si="20"/>
        <v/>
      </c>
      <c r="F687" s="45" t="str">
        <f>IFERROR(VLOOKUP(A687,庫存!$A:$I,4,0),"0")</f>
        <v>0</v>
      </c>
      <c r="G687" s="43" t="str">
        <f t="shared" si="21"/>
        <v/>
      </c>
      <c r="H687" s="24" t="str">
        <f>IFERROR(VLOOKUP(A687,庫存!$A:$I,8,0),"")</f>
        <v/>
      </c>
      <c r="I687" s="24" t="str">
        <f>IFERROR(VLOOKUP(A687,庫存!$A:$I,9,0),"")</f>
        <v/>
      </c>
    </row>
    <row r="688" spans="1:9" ht="23" customHeight="1" x14ac:dyDescent="0.35">
      <c r="A688" s="57"/>
      <c r="B688" s="34" t="str">
        <f>IFERROR(VLOOKUP(A688,庫存!$A:$I,2,0),"")</f>
        <v/>
      </c>
      <c r="C688" s="34" t="str">
        <f>IFERROR(VLOOKUP(A688,庫存!$A:$I,3,0),"")</f>
        <v/>
      </c>
      <c r="D688" s="54"/>
      <c r="E688" s="35" t="str">
        <f t="shared" si="20"/>
        <v/>
      </c>
      <c r="F688" s="45" t="str">
        <f>IFERROR(VLOOKUP(A688,庫存!$A:$I,4,0),"0")</f>
        <v>0</v>
      </c>
      <c r="G688" s="43" t="str">
        <f t="shared" si="21"/>
        <v/>
      </c>
      <c r="H688" s="24" t="str">
        <f>IFERROR(VLOOKUP(A688,庫存!$A:$I,8,0),"")</f>
        <v/>
      </c>
      <c r="I688" s="24" t="str">
        <f>IFERROR(VLOOKUP(A688,庫存!$A:$I,9,0),"")</f>
        <v/>
      </c>
    </row>
    <row r="689" spans="1:9" ht="23" customHeight="1" x14ac:dyDescent="0.35">
      <c r="A689" s="57"/>
      <c r="B689" s="34" t="str">
        <f>IFERROR(VLOOKUP(A689,庫存!$A:$I,2,0),"")</f>
        <v/>
      </c>
      <c r="C689" s="34" t="str">
        <f>IFERROR(VLOOKUP(A689,庫存!$A:$I,3,0),"")</f>
        <v/>
      </c>
      <c r="D689" s="54"/>
      <c r="E689" s="35" t="str">
        <f t="shared" si="20"/>
        <v/>
      </c>
      <c r="F689" s="45" t="str">
        <f>IFERROR(VLOOKUP(A689,庫存!$A:$I,4,0),"0")</f>
        <v>0</v>
      </c>
      <c r="G689" s="43" t="str">
        <f t="shared" si="21"/>
        <v/>
      </c>
      <c r="H689" s="24" t="str">
        <f>IFERROR(VLOOKUP(A689,庫存!$A:$I,8,0),"")</f>
        <v/>
      </c>
      <c r="I689" s="24" t="str">
        <f>IFERROR(VLOOKUP(A689,庫存!$A:$I,9,0),"")</f>
        <v/>
      </c>
    </row>
    <row r="690" spans="1:9" ht="23" customHeight="1" x14ac:dyDescent="0.35">
      <c r="A690" s="57"/>
      <c r="B690" s="34" t="str">
        <f>IFERROR(VLOOKUP(A690,庫存!$A:$I,2,0),"")</f>
        <v/>
      </c>
      <c r="C690" s="34" t="str">
        <f>IFERROR(VLOOKUP(A690,庫存!$A:$I,3,0),"")</f>
        <v/>
      </c>
      <c r="D690" s="54"/>
      <c r="E690" s="35" t="str">
        <f t="shared" si="20"/>
        <v/>
      </c>
      <c r="F690" s="45" t="str">
        <f>IFERROR(VLOOKUP(A690,庫存!$A:$I,4,0),"0")</f>
        <v>0</v>
      </c>
      <c r="G690" s="43" t="str">
        <f t="shared" si="21"/>
        <v/>
      </c>
      <c r="H690" s="24" t="str">
        <f>IFERROR(VLOOKUP(A690,庫存!$A:$I,8,0),"")</f>
        <v/>
      </c>
      <c r="I690" s="24" t="str">
        <f>IFERROR(VLOOKUP(A690,庫存!$A:$I,9,0),"")</f>
        <v/>
      </c>
    </row>
    <row r="691" spans="1:9" ht="23" customHeight="1" x14ac:dyDescent="0.35">
      <c r="A691" s="57"/>
      <c r="B691" s="34" t="str">
        <f>IFERROR(VLOOKUP(A691,庫存!$A:$I,2,0),"")</f>
        <v/>
      </c>
      <c r="C691" s="34" t="str">
        <f>IFERROR(VLOOKUP(A691,庫存!$A:$I,3,0),"")</f>
        <v/>
      </c>
      <c r="D691" s="54"/>
      <c r="E691" s="35" t="str">
        <f t="shared" si="20"/>
        <v/>
      </c>
      <c r="F691" s="45" t="str">
        <f>IFERROR(VLOOKUP(A691,庫存!$A:$I,4,0),"0")</f>
        <v>0</v>
      </c>
      <c r="G691" s="43" t="str">
        <f t="shared" si="21"/>
        <v/>
      </c>
      <c r="H691" s="24" t="str">
        <f>IFERROR(VLOOKUP(A691,庫存!$A:$I,8,0),"")</f>
        <v/>
      </c>
      <c r="I691" s="24" t="str">
        <f>IFERROR(VLOOKUP(A691,庫存!$A:$I,9,0),"")</f>
        <v/>
      </c>
    </row>
    <row r="692" spans="1:9" ht="23" customHeight="1" x14ac:dyDescent="0.35">
      <c r="A692" s="57"/>
      <c r="B692" s="34" t="str">
        <f>IFERROR(VLOOKUP(A692,庫存!$A:$I,2,0),"")</f>
        <v/>
      </c>
      <c r="C692" s="34" t="str">
        <f>IFERROR(VLOOKUP(A692,庫存!$A:$I,3,0),"")</f>
        <v/>
      </c>
      <c r="D692" s="54"/>
      <c r="E692" s="35" t="str">
        <f t="shared" si="20"/>
        <v/>
      </c>
      <c r="F692" s="45" t="str">
        <f>IFERROR(VLOOKUP(A692,庫存!$A:$I,4,0),"0")</f>
        <v>0</v>
      </c>
      <c r="G692" s="43" t="str">
        <f t="shared" si="21"/>
        <v/>
      </c>
      <c r="H692" s="24" t="str">
        <f>IFERROR(VLOOKUP(A692,庫存!$A:$I,8,0),"")</f>
        <v/>
      </c>
      <c r="I692" s="24" t="str">
        <f>IFERROR(VLOOKUP(A692,庫存!$A:$I,9,0),"")</f>
        <v/>
      </c>
    </row>
    <row r="693" spans="1:9" ht="23" customHeight="1" x14ac:dyDescent="0.35">
      <c r="A693" s="57"/>
      <c r="B693" s="34" t="str">
        <f>IFERROR(VLOOKUP(A693,庫存!$A:$I,2,0),"")</f>
        <v/>
      </c>
      <c r="C693" s="34" t="str">
        <f>IFERROR(VLOOKUP(A693,庫存!$A:$I,3,0),"")</f>
        <v/>
      </c>
      <c r="D693" s="54"/>
      <c r="E693" s="35" t="str">
        <f t="shared" si="20"/>
        <v/>
      </c>
      <c r="F693" s="45" t="str">
        <f>IFERROR(VLOOKUP(A693,庫存!$A:$I,4,0),"0")</f>
        <v>0</v>
      </c>
      <c r="G693" s="43" t="str">
        <f t="shared" si="21"/>
        <v/>
      </c>
      <c r="H693" s="24" t="str">
        <f>IFERROR(VLOOKUP(A693,庫存!$A:$I,8,0),"")</f>
        <v/>
      </c>
      <c r="I693" s="24" t="str">
        <f>IFERROR(VLOOKUP(A693,庫存!$A:$I,9,0),"")</f>
        <v/>
      </c>
    </row>
    <row r="694" spans="1:9" ht="23" customHeight="1" x14ac:dyDescent="0.35">
      <c r="A694" s="57"/>
      <c r="B694" s="34" t="str">
        <f>IFERROR(VLOOKUP(A694,庫存!$A:$I,2,0),"")</f>
        <v/>
      </c>
      <c r="C694" s="34" t="str">
        <f>IFERROR(VLOOKUP(A694,庫存!$A:$I,3,0),"")</f>
        <v/>
      </c>
      <c r="D694" s="54"/>
      <c r="E694" s="35" t="str">
        <f t="shared" si="20"/>
        <v/>
      </c>
      <c r="F694" s="45" t="str">
        <f>IFERROR(VLOOKUP(A694,庫存!$A:$I,4,0),"0")</f>
        <v>0</v>
      </c>
      <c r="G694" s="43" t="str">
        <f t="shared" si="21"/>
        <v/>
      </c>
      <c r="H694" s="24" t="str">
        <f>IFERROR(VLOOKUP(A694,庫存!$A:$I,8,0),"")</f>
        <v/>
      </c>
      <c r="I694" s="24" t="str">
        <f>IFERROR(VLOOKUP(A694,庫存!$A:$I,9,0),"")</f>
        <v/>
      </c>
    </row>
    <row r="695" spans="1:9" ht="23" customHeight="1" x14ac:dyDescent="0.35">
      <c r="A695" s="57"/>
      <c r="B695" s="34" t="str">
        <f>IFERROR(VLOOKUP(A695,庫存!$A:$I,2,0),"")</f>
        <v/>
      </c>
      <c r="C695" s="34" t="str">
        <f>IFERROR(VLOOKUP(A695,庫存!$A:$I,3,0),"")</f>
        <v/>
      </c>
      <c r="D695" s="54"/>
      <c r="E695" s="35" t="str">
        <f t="shared" si="20"/>
        <v/>
      </c>
      <c r="F695" s="45" t="str">
        <f>IFERROR(VLOOKUP(A695,庫存!$A:$I,4,0),"0")</f>
        <v>0</v>
      </c>
      <c r="G695" s="43" t="str">
        <f t="shared" si="21"/>
        <v/>
      </c>
      <c r="H695" s="24" t="str">
        <f>IFERROR(VLOOKUP(A695,庫存!$A:$I,8,0),"")</f>
        <v/>
      </c>
      <c r="I695" s="24" t="str">
        <f>IFERROR(VLOOKUP(A695,庫存!$A:$I,9,0),"")</f>
        <v/>
      </c>
    </row>
    <row r="696" spans="1:9" ht="23" customHeight="1" x14ac:dyDescent="0.35">
      <c r="A696" s="57"/>
      <c r="B696" s="34" t="str">
        <f>IFERROR(VLOOKUP(A696,庫存!$A:$I,2,0),"")</f>
        <v/>
      </c>
      <c r="C696" s="34" t="str">
        <f>IFERROR(VLOOKUP(A696,庫存!$A:$I,3,0),"")</f>
        <v/>
      </c>
      <c r="D696" s="54"/>
      <c r="E696" s="35" t="str">
        <f t="shared" si="20"/>
        <v/>
      </c>
      <c r="F696" s="45" t="str">
        <f>IFERROR(VLOOKUP(A696,庫存!$A:$I,4,0),"0")</f>
        <v>0</v>
      </c>
      <c r="G696" s="43" t="str">
        <f t="shared" si="21"/>
        <v/>
      </c>
      <c r="H696" s="24" t="str">
        <f>IFERROR(VLOOKUP(A696,庫存!$A:$I,8,0),"")</f>
        <v/>
      </c>
      <c r="I696" s="24" t="str">
        <f>IFERROR(VLOOKUP(A696,庫存!$A:$I,9,0),"")</f>
        <v/>
      </c>
    </row>
    <row r="697" spans="1:9" ht="23" customHeight="1" x14ac:dyDescent="0.35">
      <c r="A697" s="57"/>
      <c r="B697" s="34" t="str">
        <f>IFERROR(VLOOKUP(A697,庫存!$A:$I,2,0),"")</f>
        <v/>
      </c>
      <c r="C697" s="34" t="str">
        <f>IFERROR(VLOOKUP(A697,庫存!$A:$I,3,0),"")</f>
        <v/>
      </c>
      <c r="D697" s="54"/>
      <c r="E697" s="35" t="str">
        <f t="shared" si="20"/>
        <v/>
      </c>
      <c r="F697" s="45" t="str">
        <f>IFERROR(VLOOKUP(A697,庫存!$A:$I,4,0),"0")</f>
        <v>0</v>
      </c>
      <c r="G697" s="43" t="str">
        <f t="shared" si="21"/>
        <v/>
      </c>
      <c r="H697" s="24" t="str">
        <f>IFERROR(VLOOKUP(A697,庫存!$A:$I,8,0),"")</f>
        <v/>
      </c>
      <c r="I697" s="24" t="str">
        <f>IFERROR(VLOOKUP(A697,庫存!$A:$I,9,0),"")</f>
        <v/>
      </c>
    </row>
    <row r="698" spans="1:9" ht="23" customHeight="1" x14ac:dyDescent="0.35">
      <c r="A698" s="57"/>
      <c r="B698" s="34" t="str">
        <f>IFERROR(VLOOKUP(A698,庫存!$A:$I,2,0),"")</f>
        <v/>
      </c>
      <c r="C698" s="34" t="str">
        <f>IFERROR(VLOOKUP(A698,庫存!$A:$I,3,0),"")</f>
        <v/>
      </c>
      <c r="D698" s="54"/>
      <c r="E698" s="35" t="str">
        <f t="shared" si="20"/>
        <v/>
      </c>
      <c r="F698" s="45" t="str">
        <f>IFERROR(VLOOKUP(A698,庫存!$A:$I,4,0),"0")</f>
        <v>0</v>
      </c>
      <c r="G698" s="43" t="str">
        <f t="shared" si="21"/>
        <v/>
      </c>
      <c r="H698" s="24" t="str">
        <f>IFERROR(VLOOKUP(A698,庫存!$A:$I,8,0),"")</f>
        <v/>
      </c>
      <c r="I698" s="24" t="str">
        <f>IFERROR(VLOOKUP(A698,庫存!$A:$I,9,0),"")</f>
        <v/>
      </c>
    </row>
    <row r="699" spans="1:9" ht="23" customHeight="1" x14ac:dyDescent="0.35">
      <c r="A699" s="57"/>
      <c r="B699" s="34" t="str">
        <f>IFERROR(VLOOKUP(A699,庫存!$A:$I,2,0),"")</f>
        <v/>
      </c>
      <c r="C699" s="34" t="str">
        <f>IFERROR(VLOOKUP(A699,庫存!$A:$I,3,0),"")</f>
        <v/>
      </c>
      <c r="D699" s="54"/>
      <c r="E699" s="35" t="str">
        <f t="shared" si="20"/>
        <v/>
      </c>
      <c r="F699" s="45" t="str">
        <f>IFERROR(VLOOKUP(A699,庫存!$A:$I,4,0),"0")</f>
        <v>0</v>
      </c>
      <c r="G699" s="43" t="str">
        <f t="shared" si="21"/>
        <v/>
      </c>
      <c r="H699" s="24" t="str">
        <f>IFERROR(VLOOKUP(A699,庫存!$A:$I,8,0),"")</f>
        <v/>
      </c>
      <c r="I699" s="24" t="str">
        <f>IFERROR(VLOOKUP(A699,庫存!$A:$I,9,0),"")</f>
        <v/>
      </c>
    </row>
    <row r="700" spans="1:9" ht="23" customHeight="1" x14ac:dyDescent="0.35">
      <c r="A700" s="57"/>
      <c r="B700" s="34" t="str">
        <f>IFERROR(VLOOKUP(A700,庫存!$A:$I,2,0),"")</f>
        <v/>
      </c>
      <c r="C700" s="34" t="str">
        <f>IFERROR(VLOOKUP(A700,庫存!$A:$I,3,0),"")</f>
        <v/>
      </c>
      <c r="D700" s="54"/>
      <c r="E700" s="35" t="str">
        <f t="shared" si="20"/>
        <v/>
      </c>
      <c r="F700" s="45" t="str">
        <f>IFERROR(VLOOKUP(A700,庫存!$A:$I,4,0),"0")</f>
        <v>0</v>
      </c>
      <c r="G700" s="43" t="str">
        <f t="shared" si="21"/>
        <v/>
      </c>
      <c r="H700" s="24" t="str">
        <f>IFERROR(VLOOKUP(A700,庫存!$A:$I,8,0),"")</f>
        <v/>
      </c>
      <c r="I700" s="24" t="str">
        <f>IFERROR(VLOOKUP(A700,庫存!$A:$I,9,0),"")</f>
        <v/>
      </c>
    </row>
    <row r="701" spans="1:9" ht="23" customHeight="1" x14ac:dyDescent="0.35">
      <c r="A701" s="57"/>
      <c r="B701" s="34" t="str">
        <f>IFERROR(VLOOKUP(A701,庫存!$A:$I,2,0),"")</f>
        <v/>
      </c>
      <c r="C701" s="34" t="str">
        <f>IFERROR(VLOOKUP(A701,庫存!$A:$I,3,0),"")</f>
        <v/>
      </c>
      <c r="D701" s="54"/>
      <c r="E701" s="35" t="str">
        <f t="shared" si="20"/>
        <v/>
      </c>
      <c r="F701" s="45" t="str">
        <f>IFERROR(VLOOKUP(A701,庫存!$A:$I,4,0),"0")</f>
        <v>0</v>
      </c>
      <c r="G701" s="43" t="str">
        <f t="shared" si="21"/>
        <v/>
      </c>
      <c r="H701" s="24" t="str">
        <f>IFERROR(VLOOKUP(A701,庫存!$A:$I,8,0),"")</f>
        <v/>
      </c>
      <c r="I701" s="24" t="str">
        <f>IFERROR(VLOOKUP(A701,庫存!$A:$I,9,0),"")</f>
        <v/>
      </c>
    </row>
    <row r="702" spans="1:9" ht="23" customHeight="1" x14ac:dyDescent="0.35">
      <c r="A702" s="57"/>
      <c r="B702" s="34" t="str">
        <f>IFERROR(VLOOKUP(A702,庫存!$A:$I,2,0),"")</f>
        <v/>
      </c>
      <c r="C702" s="34" t="str">
        <f>IFERROR(VLOOKUP(A702,庫存!$A:$I,3,0),"")</f>
        <v/>
      </c>
      <c r="D702" s="54"/>
      <c r="E702" s="35" t="str">
        <f t="shared" si="20"/>
        <v/>
      </c>
      <c r="F702" s="45" t="str">
        <f>IFERROR(VLOOKUP(A702,庫存!$A:$I,4,0),"0")</f>
        <v>0</v>
      </c>
      <c r="G702" s="43" t="str">
        <f t="shared" si="21"/>
        <v/>
      </c>
      <c r="H702" s="24" t="str">
        <f>IFERROR(VLOOKUP(A702,庫存!$A:$I,8,0),"")</f>
        <v/>
      </c>
      <c r="I702" s="24" t="str">
        <f>IFERROR(VLOOKUP(A702,庫存!$A:$I,9,0),"")</f>
        <v/>
      </c>
    </row>
    <row r="703" spans="1:9" ht="23" customHeight="1" x14ac:dyDescent="0.35">
      <c r="A703" s="57"/>
      <c r="B703" s="34" t="str">
        <f>IFERROR(VLOOKUP(A703,庫存!$A:$I,2,0),"")</f>
        <v/>
      </c>
      <c r="C703" s="34" t="str">
        <f>IFERROR(VLOOKUP(A703,庫存!$A:$I,3,0),"")</f>
        <v/>
      </c>
      <c r="D703" s="54"/>
      <c r="E703" s="35" t="str">
        <f t="shared" si="20"/>
        <v/>
      </c>
      <c r="F703" s="45" t="str">
        <f>IFERROR(VLOOKUP(A703,庫存!$A:$I,4,0),"0")</f>
        <v>0</v>
      </c>
      <c r="G703" s="43" t="str">
        <f t="shared" si="21"/>
        <v/>
      </c>
      <c r="H703" s="24" t="str">
        <f>IFERROR(VLOOKUP(A703,庫存!$A:$I,8,0),"")</f>
        <v/>
      </c>
      <c r="I703" s="24" t="str">
        <f>IFERROR(VLOOKUP(A703,庫存!$A:$I,9,0),"")</f>
        <v/>
      </c>
    </row>
    <row r="704" spans="1:9" ht="23" customHeight="1" x14ac:dyDescent="0.35">
      <c r="A704" s="57"/>
      <c r="B704" s="34" t="str">
        <f>IFERROR(VLOOKUP(A704,庫存!$A:$I,2,0),"")</f>
        <v/>
      </c>
      <c r="C704" s="34" t="str">
        <f>IFERROR(VLOOKUP(A704,庫存!$A:$I,3,0),"")</f>
        <v/>
      </c>
      <c r="D704" s="54"/>
      <c r="E704" s="35" t="str">
        <f t="shared" si="20"/>
        <v/>
      </c>
      <c r="F704" s="45" t="str">
        <f>IFERROR(VLOOKUP(A704,庫存!$A:$I,4,0),"0")</f>
        <v>0</v>
      </c>
      <c r="G704" s="43" t="str">
        <f t="shared" si="21"/>
        <v/>
      </c>
      <c r="H704" s="24" t="str">
        <f>IFERROR(VLOOKUP(A704,庫存!$A:$I,8,0),"")</f>
        <v/>
      </c>
      <c r="I704" s="24" t="str">
        <f>IFERROR(VLOOKUP(A704,庫存!$A:$I,9,0),"")</f>
        <v/>
      </c>
    </row>
    <row r="705" spans="1:9" ht="23" customHeight="1" x14ac:dyDescent="0.35">
      <c r="A705" s="57"/>
      <c r="B705" s="34" t="str">
        <f>IFERROR(VLOOKUP(A705,庫存!$A:$I,2,0),"")</f>
        <v/>
      </c>
      <c r="C705" s="34" t="str">
        <f>IFERROR(VLOOKUP(A705,庫存!$A:$I,3,0),"")</f>
        <v/>
      </c>
      <c r="D705" s="54"/>
      <c r="E705" s="35" t="str">
        <f t="shared" si="20"/>
        <v/>
      </c>
      <c r="F705" s="45" t="str">
        <f>IFERROR(VLOOKUP(A705,庫存!$A:$I,4,0),"0")</f>
        <v>0</v>
      </c>
      <c r="G705" s="43" t="str">
        <f t="shared" si="21"/>
        <v/>
      </c>
      <c r="H705" s="24" t="str">
        <f>IFERROR(VLOOKUP(A705,庫存!$A:$I,8,0),"")</f>
        <v/>
      </c>
      <c r="I705" s="24" t="str">
        <f>IFERROR(VLOOKUP(A705,庫存!$A:$I,9,0),"")</f>
        <v/>
      </c>
    </row>
    <row r="706" spans="1:9" ht="23" customHeight="1" x14ac:dyDescent="0.35">
      <c r="A706" s="57"/>
      <c r="B706" s="34" t="str">
        <f>IFERROR(VLOOKUP(A706,庫存!$A:$I,2,0),"")</f>
        <v/>
      </c>
      <c r="C706" s="34" t="str">
        <f>IFERROR(VLOOKUP(A706,庫存!$A:$I,3,0),"")</f>
        <v/>
      </c>
      <c r="D706" s="54"/>
      <c r="E706" s="35" t="str">
        <f t="shared" ref="E706:E769" si="22">IF(D706*$E$1=0,"",D706*$E$1)</f>
        <v/>
      </c>
      <c r="F706" s="45" t="str">
        <f>IFERROR(VLOOKUP(A706,庫存!$A:$I,4,0),"0")</f>
        <v>0</v>
      </c>
      <c r="G706" s="43" t="str">
        <f t="shared" ref="G706:G769" si="23">IFERROR(F706-E706,"")</f>
        <v/>
      </c>
      <c r="H706" s="24" t="str">
        <f>IFERROR(VLOOKUP(A706,庫存!$A:$I,8,0),"")</f>
        <v/>
      </c>
      <c r="I706" s="24" t="str">
        <f>IFERROR(VLOOKUP(A706,庫存!$A:$I,9,0),"")</f>
        <v/>
      </c>
    </row>
    <row r="707" spans="1:9" ht="23" customHeight="1" x14ac:dyDescent="0.35">
      <c r="A707" s="57"/>
      <c r="B707" s="34" t="str">
        <f>IFERROR(VLOOKUP(A707,庫存!$A:$I,2,0),"")</f>
        <v/>
      </c>
      <c r="C707" s="34" t="str">
        <f>IFERROR(VLOOKUP(A707,庫存!$A:$I,3,0),"")</f>
        <v/>
      </c>
      <c r="D707" s="54"/>
      <c r="E707" s="35" t="str">
        <f t="shared" si="22"/>
        <v/>
      </c>
      <c r="F707" s="45" t="str">
        <f>IFERROR(VLOOKUP(A707,庫存!$A:$I,4,0),"0")</f>
        <v>0</v>
      </c>
      <c r="G707" s="43" t="str">
        <f t="shared" si="23"/>
        <v/>
      </c>
      <c r="H707" s="24" t="str">
        <f>IFERROR(VLOOKUP(A707,庫存!$A:$I,8,0),"")</f>
        <v/>
      </c>
      <c r="I707" s="24" t="str">
        <f>IFERROR(VLOOKUP(A707,庫存!$A:$I,9,0),"")</f>
        <v/>
      </c>
    </row>
    <row r="708" spans="1:9" ht="23" customHeight="1" x14ac:dyDescent="0.35">
      <c r="A708" s="57"/>
      <c r="B708" s="34" t="str">
        <f>IFERROR(VLOOKUP(A708,庫存!$A:$I,2,0),"")</f>
        <v/>
      </c>
      <c r="C708" s="34" t="str">
        <f>IFERROR(VLOOKUP(A708,庫存!$A:$I,3,0),"")</f>
        <v/>
      </c>
      <c r="D708" s="54"/>
      <c r="E708" s="35" t="str">
        <f t="shared" si="22"/>
        <v/>
      </c>
      <c r="F708" s="45" t="str">
        <f>IFERROR(VLOOKUP(A708,庫存!$A:$I,4,0),"0")</f>
        <v>0</v>
      </c>
      <c r="G708" s="43" t="str">
        <f t="shared" si="23"/>
        <v/>
      </c>
      <c r="H708" s="24" t="str">
        <f>IFERROR(VLOOKUP(A708,庫存!$A:$I,8,0),"")</f>
        <v/>
      </c>
      <c r="I708" s="24" t="str">
        <f>IFERROR(VLOOKUP(A708,庫存!$A:$I,9,0),"")</f>
        <v/>
      </c>
    </row>
    <row r="709" spans="1:9" ht="23" customHeight="1" x14ac:dyDescent="0.35">
      <c r="A709" s="57"/>
      <c r="B709" s="34" t="str">
        <f>IFERROR(VLOOKUP(A709,庫存!$A:$I,2,0),"")</f>
        <v/>
      </c>
      <c r="C709" s="34" t="str">
        <f>IFERROR(VLOOKUP(A709,庫存!$A:$I,3,0),"")</f>
        <v/>
      </c>
      <c r="D709" s="54"/>
      <c r="E709" s="35" t="str">
        <f t="shared" si="22"/>
        <v/>
      </c>
      <c r="F709" s="45" t="str">
        <f>IFERROR(VLOOKUP(A709,庫存!$A:$I,4,0),"0")</f>
        <v>0</v>
      </c>
      <c r="G709" s="43" t="str">
        <f t="shared" si="23"/>
        <v/>
      </c>
      <c r="H709" s="24" t="str">
        <f>IFERROR(VLOOKUP(A709,庫存!$A:$I,8,0),"")</f>
        <v/>
      </c>
      <c r="I709" s="24" t="str">
        <f>IFERROR(VLOOKUP(A709,庫存!$A:$I,9,0),"")</f>
        <v/>
      </c>
    </row>
    <row r="710" spans="1:9" ht="23" customHeight="1" x14ac:dyDescent="0.35">
      <c r="A710" s="57"/>
      <c r="B710" s="34" t="str">
        <f>IFERROR(VLOOKUP(A710,庫存!$A:$I,2,0),"")</f>
        <v/>
      </c>
      <c r="C710" s="34" t="str">
        <f>IFERROR(VLOOKUP(A710,庫存!$A:$I,3,0),"")</f>
        <v/>
      </c>
      <c r="D710" s="54"/>
      <c r="E710" s="35" t="str">
        <f t="shared" si="22"/>
        <v/>
      </c>
      <c r="F710" s="45" t="str">
        <f>IFERROR(VLOOKUP(A710,庫存!$A:$I,4,0),"0")</f>
        <v>0</v>
      </c>
      <c r="G710" s="43" t="str">
        <f t="shared" si="23"/>
        <v/>
      </c>
      <c r="H710" s="24" t="str">
        <f>IFERROR(VLOOKUP(A710,庫存!$A:$I,8,0),"")</f>
        <v/>
      </c>
      <c r="I710" s="24" t="str">
        <f>IFERROR(VLOOKUP(A710,庫存!$A:$I,9,0),"")</f>
        <v/>
      </c>
    </row>
    <row r="711" spans="1:9" ht="23" customHeight="1" x14ac:dyDescent="0.35">
      <c r="A711" s="57"/>
      <c r="B711" s="34" t="str">
        <f>IFERROR(VLOOKUP(A711,庫存!$A:$I,2,0),"")</f>
        <v/>
      </c>
      <c r="C711" s="34" t="str">
        <f>IFERROR(VLOOKUP(A711,庫存!$A:$I,3,0),"")</f>
        <v/>
      </c>
      <c r="D711" s="54"/>
      <c r="E711" s="35" t="str">
        <f t="shared" si="22"/>
        <v/>
      </c>
      <c r="F711" s="45" t="str">
        <f>IFERROR(VLOOKUP(A711,庫存!$A:$I,4,0),"0")</f>
        <v>0</v>
      </c>
      <c r="G711" s="43" t="str">
        <f t="shared" si="23"/>
        <v/>
      </c>
      <c r="H711" s="24" t="str">
        <f>IFERROR(VLOOKUP(A711,庫存!$A:$I,8,0),"")</f>
        <v/>
      </c>
      <c r="I711" s="24" t="str">
        <f>IFERROR(VLOOKUP(A711,庫存!$A:$I,9,0),"")</f>
        <v/>
      </c>
    </row>
    <row r="712" spans="1:9" ht="23" customHeight="1" x14ac:dyDescent="0.35">
      <c r="A712" s="57"/>
      <c r="B712" s="34" t="str">
        <f>IFERROR(VLOOKUP(A712,庫存!$A:$I,2,0),"")</f>
        <v/>
      </c>
      <c r="C712" s="34" t="str">
        <f>IFERROR(VLOOKUP(A712,庫存!$A:$I,3,0),"")</f>
        <v/>
      </c>
      <c r="D712" s="54"/>
      <c r="E712" s="35" t="str">
        <f t="shared" si="22"/>
        <v/>
      </c>
      <c r="F712" s="45" t="str">
        <f>IFERROR(VLOOKUP(A712,庫存!$A:$I,4,0),"0")</f>
        <v>0</v>
      </c>
      <c r="G712" s="43" t="str">
        <f t="shared" si="23"/>
        <v/>
      </c>
      <c r="H712" s="24" t="str">
        <f>IFERROR(VLOOKUP(A712,庫存!$A:$I,8,0),"")</f>
        <v/>
      </c>
      <c r="I712" s="24" t="str">
        <f>IFERROR(VLOOKUP(A712,庫存!$A:$I,9,0),"")</f>
        <v/>
      </c>
    </row>
    <row r="713" spans="1:9" ht="23" customHeight="1" x14ac:dyDescent="0.35">
      <c r="A713" s="57"/>
      <c r="B713" s="34" t="str">
        <f>IFERROR(VLOOKUP(A713,庫存!$A:$I,2,0),"")</f>
        <v/>
      </c>
      <c r="C713" s="34" t="str">
        <f>IFERROR(VLOOKUP(A713,庫存!$A:$I,3,0),"")</f>
        <v/>
      </c>
      <c r="D713" s="54"/>
      <c r="E713" s="35" t="str">
        <f t="shared" si="22"/>
        <v/>
      </c>
      <c r="F713" s="45" t="str">
        <f>IFERROR(VLOOKUP(A713,庫存!$A:$I,4,0),"0")</f>
        <v>0</v>
      </c>
      <c r="G713" s="43" t="str">
        <f t="shared" si="23"/>
        <v/>
      </c>
      <c r="H713" s="24" t="str">
        <f>IFERROR(VLOOKUP(A713,庫存!$A:$I,8,0),"")</f>
        <v/>
      </c>
      <c r="I713" s="24" t="str">
        <f>IFERROR(VLOOKUP(A713,庫存!$A:$I,9,0),"")</f>
        <v/>
      </c>
    </row>
    <row r="714" spans="1:9" ht="23" customHeight="1" x14ac:dyDescent="0.35">
      <c r="A714" s="57"/>
      <c r="B714" s="34" t="str">
        <f>IFERROR(VLOOKUP(A714,庫存!$A:$I,2,0),"")</f>
        <v/>
      </c>
      <c r="C714" s="34" t="str">
        <f>IFERROR(VLOOKUP(A714,庫存!$A:$I,3,0),"")</f>
        <v/>
      </c>
      <c r="D714" s="54"/>
      <c r="E714" s="35" t="str">
        <f t="shared" si="22"/>
        <v/>
      </c>
      <c r="F714" s="45" t="str">
        <f>IFERROR(VLOOKUP(A714,庫存!$A:$I,4,0),"0")</f>
        <v>0</v>
      </c>
      <c r="G714" s="43" t="str">
        <f t="shared" si="23"/>
        <v/>
      </c>
      <c r="H714" s="24" t="str">
        <f>IFERROR(VLOOKUP(A714,庫存!$A:$I,8,0),"")</f>
        <v/>
      </c>
      <c r="I714" s="24" t="str">
        <f>IFERROR(VLOOKUP(A714,庫存!$A:$I,9,0),"")</f>
        <v/>
      </c>
    </row>
    <row r="715" spans="1:9" ht="23" customHeight="1" x14ac:dyDescent="0.35">
      <c r="A715" s="57"/>
      <c r="B715" s="34" t="str">
        <f>IFERROR(VLOOKUP(A715,庫存!$A:$I,2,0),"")</f>
        <v/>
      </c>
      <c r="C715" s="34" t="str">
        <f>IFERROR(VLOOKUP(A715,庫存!$A:$I,3,0),"")</f>
        <v/>
      </c>
      <c r="D715" s="54"/>
      <c r="E715" s="35" t="str">
        <f t="shared" si="22"/>
        <v/>
      </c>
      <c r="F715" s="45" t="str">
        <f>IFERROR(VLOOKUP(A715,庫存!$A:$I,4,0),"0")</f>
        <v>0</v>
      </c>
      <c r="G715" s="43" t="str">
        <f t="shared" si="23"/>
        <v/>
      </c>
      <c r="H715" s="24" t="str">
        <f>IFERROR(VLOOKUP(A715,庫存!$A:$I,8,0),"")</f>
        <v/>
      </c>
      <c r="I715" s="24" t="str">
        <f>IFERROR(VLOOKUP(A715,庫存!$A:$I,9,0),"")</f>
        <v/>
      </c>
    </row>
    <row r="716" spans="1:9" ht="23" customHeight="1" x14ac:dyDescent="0.35">
      <c r="A716" s="57"/>
      <c r="B716" s="34" t="str">
        <f>IFERROR(VLOOKUP(A716,庫存!$A:$I,2,0),"")</f>
        <v/>
      </c>
      <c r="C716" s="34" t="str">
        <f>IFERROR(VLOOKUP(A716,庫存!$A:$I,3,0),"")</f>
        <v/>
      </c>
      <c r="D716" s="54"/>
      <c r="E716" s="35" t="str">
        <f t="shared" si="22"/>
        <v/>
      </c>
      <c r="F716" s="45" t="str">
        <f>IFERROR(VLOOKUP(A716,庫存!$A:$I,4,0),"0")</f>
        <v>0</v>
      </c>
      <c r="G716" s="43" t="str">
        <f t="shared" si="23"/>
        <v/>
      </c>
      <c r="H716" s="24" t="str">
        <f>IFERROR(VLOOKUP(A716,庫存!$A:$I,8,0),"")</f>
        <v/>
      </c>
      <c r="I716" s="24" t="str">
        <f>IFERROR(VLOOKUP(A716,庫存!$A:$I,9,0),"")</f>
        <v/>
      </c>
    </row>
    <row r="717" spans="1:9" ht="23" customHeight="1" x14ac:dyDescent="0.35">
      <c r="A717" s="57"/>
      <c r="B717" s="34" t="str">
        <f>IFERROR(VLOOKUP(A717,庫存!$A:$I,2,0),"")</f>
        <v/>
      </c>
      <c r="C717" s="34" t="str">
        <f>IFERROR(VLOOKUP(A717,庫存!$A:$I,3,0),"")</f>
        <v/>
      </c>
      <c r="D717" s="54"/>
      <c r="E717" s="35" t="str">
        <f t="shared" si="22"/>
        <v/>
      </c>
      <c r="F717" s="45" t="str">
        <f>IFERROR(VLOOKUP(A717,庫存!$A:$I,4,0),"0")</f>
        <v>0</v>
      </c>
      <c r="G717" s="43" t="str">
        <f t="shared" si="23"/>
        <v/>
      </c>
      <c r="H717" s="24" t="str">
        <f>IFERROR(VLOOKUP(A717,庫存!$A:$I,8,0),"")</f>
        <v/>
      </c>
      <c r="I717" s="24" t="str">
        <f>IFERROR(VLOOKUP(A717,庫存!$A:$I,9,0),"")</f>
        <v/>
      </c>
    </row>
    <row r="718" spans="1:9" ht="23" customHeight="1" x14ac:dyDescent="0.35">
      <c r="A718" s="57"/>
      <c r="B718" s="34" t="str">
        <f>IFERROR(VLOOKUP(A718,庫存!$A:$I,2,0),"")</f>
        <v/>
      </c>
      <c r="C718" s="34" t="str">
        <f>IFERROR(VLOOKUP(A718,庫存!$A:$I,3,0),"")</f>
        <v/>
      </c>
      <c r="D718" s="54"/>
      <c r="E718" s="35" t="str">
        <f t="shared" si="22"/>
        <v/>
      </c>
      <c r="F718" s="45" t="str">
        <f>IFERROR(VLOOKUP(A718,庫存!$A:$I,4,0),"0")</f>
        <v>0</v>
      </c>
      <c r="G718" s="43" t="str">
        <f t="shared" si="23"/>
        <v/>
      </c>
      <c r="H718" s="24" t="str">
        <f>IFERROR(VLOOKUP(A718,庫存!$A:$I,8,0),"")</f>
        <v/>
      </c>
      <c r="I718" s="24" t="str">
        <f>IFERROR(VLOOKUP(A718,庫存!$A:$I,9,0),"")</f>
        <v/>
      </c>
    </row>
    <row r="719" spans="1:9" ht="23" customHeight="1" x14ac:dyDescent="0.35">
      <c r="A719" s="57"/>
      <c r="B719" s="34" t="str">
        <f>IFERROR(VLOOKUP(A719,庫存!$A:$I,2,0),"")</f>
        <v/>
      </c>
      <c r="C719" s="34" t="str">
        <f>IFERROR(VLOOKUP(A719,庫存!$A:$I,3,0),"")</f>
        <v/>
      </c>
      <c r="D719" s="54"/>
      <c r="E719" s="35" t="str">
        <f t="shared" si="22"/>
        <v/>
      </c>
      <c r="F719" s="45" t="str">
        <f>IFERROR(VLOOKUP(A719,庫存!$A:$I,4,0),"0")</f>
        <v>0</v>
      </c>
      <c r="G719" s="43" t="str">
        <f t="shared" si="23"/>
        <v/>
      </c>
      <c r="H719" s="24" t="str">
        <f>IFERROR(VLOOKUP(A719,庫存!$A:$I,8,0),"")</f>
        <v/>
      </c>
      <c r="I719" s="24" t="str">
        <f>IFERROR(VLOOKUP(A719,庫存!$A:$I,9,0),"")</f>
        <v/>
      </c>
    </row>
    <row r="720" spans="1:9" ht="23" customHeight="1" x14ac:dyDescent="0.35">
      <c r="A720" s="57"/>
      <c r="B720" s="34" t="str">
        <f>IFERROR(VLOOKUP(A720,庫存!$A:$I,2,0),"")</f>
        <v/>
      </c>
      <c r="C720" s="34" t="str">
        <f>IFERROR(VLOOKUP(A720,庫存!$A:$I,3,0),"")</f>
        <v/>
      </c>
      <c r="D720" s="54"/>
      <c r="E720" s="35" t="str">
        <f t="shared" si="22"/>
        <v/>
      </c>
      <c r="F720" s="45" t="str">
        <f>IFERROR(VLOOKUP(A720,庫存!$A:$I,4,0),"0")</f>
        <v>0</v>
      </c>
      <c r="G720" s="43" t="str">
        <f t="shared" si="23"/>
        <v/>
      </c>
      <c r="H720" s="24" t="str">
        <f>IFERROR(VLOOKUP(A720,庫存!$A:$I,8,0),"")</f>
        <v/>
      </c>
      <c r="I720" s="24" t="str">
        <f>IFERROR(VLOOKUP(A720,庫存!$A:$I,9,0),"")</f>
        <v/>
      </c>
    </row>
    <row r="721" spans="1:9" ht="23" customHeight="1" x14ac:dyDescent="0.35">
      <c r="A721" s="57"/>
      <c r="B721" s="34" t="str">
        <f>IFERROR(VLOOKUP(A721,庫存!$A:$I,2,0),"")</f>
        <v/>
      </c>
      <c r="C721" s="34" t="str">
        <f>IFERROR(VLOOKUP(A721,庫存!$A:$I,3,0),"")</f>
        <v/>
      </c>
      <c r="D721" s="54"/>
      <c r="E721" s="35" t="str">
        <f t="shared" si="22"/>
        <v/>
      </c>
      <c r="F721" s="45" t="str">
        <f>IFERROR(VLOOKUP(A721,庫存!$A:$I,4,0),"0")</f>
        <v>0</v>
      </c>
      <c r="G721" s="43" t="str">
        <f t="shared" si="23"/>
        <v/>
      </c>
      <c r="H721" s="24" t="str">
        <f>IFERROR(VLOOKUP(A721,庫存!$A:$I,8,0),"")</f>
        <v/>
      </c>
      <c r="I721" s="24" t="str">
        <f>IFERROR(VLOOKUP(A721,庫存!$A:$I,9,0),"")</f>
        <v/>
      </c>
    </row>
    <row r="722" spans="1:9" ht="23" customHeight="1" x14ac:dyDescent="0.35">
      <c r="A722" s="57"/>
      <c r="B722" s="34" t="str">
        <f>IFERROR(VLOOKUP(A722,庫存!$A:$I,2,0),"")</f>
        <v/>
      </c>
      <c r="C722" s="34" t="str">
        <f>IFERROR(VLOOKUP(A722,庫存!$A:$I,3,0),"")</f>
        <v/>
      </c>
      <c r="D722" s="54"/>
      <c r="E722" s="35" t="str">
        <f t="shared" si="22"/>
        <v/>
      </c>
      <c r="F722" s="45" t="str">
        <f>IFERROR(VLOOKUP(A722,庫存!$A:$I,4,0),"0")</f>
        <v>0</v>
      </c>
      <c r="G722" s="43" t="str">
        <f t="shared" si="23"/>
        <v/>
      </c>
      <c r="H722" s="24" t="str">
        <f>IFERROR(VLOOKUP(A722,庫存!$A:$I,8,0),"")</f>
        <v/>
      </c>
      <c r="I722" s="24" t="str">
        <f>IFERROR(VLOOKUP(A722,庫存!$A:$I,9,0),"")</f>
        <v/>
      </c>
    </row>
    <row r="723" spans="1:9" ht="23" customHeight="1" x14ac:dyDescent="0.35">
      <c r="A723" s="57"/>
      <c r="B723" s="34" t="str">
        <f>IFERROR(VLOOKUP(A723,庫存!$A:$I,2,0),"")</f>
        <v/>
      </c>
      <c r="C723" s="34" t="str">
        <f>IFERROR(VLOOKUP(A723,庫存!$A:$I,3,0),"")</f>
        <v/>
      </c>
      <c r="D723" s="54"/>
      <c r="E723" s="35" t="str">
        <f t="shared" si="22"/>
        <v/>
      </c>
      <c r="F723" s="45" t="str">
        <f>IFERROR(VLOOKUP(A723,庫存!$A:$I,4,0),"0")</f>
        <v>0</v>
      </c>
      <c r="G723" s="43" t="str">
        <f t="shared" si="23"/>
        <v/>
      </c>
      <c r="H723" s="24" t="str">
        <f>IFERROR(VLOOKUP(A723,庫存!$A:$I,8,0),"")</f>
        <v/>
      </c>
      <c r="I723" s="24" t="str">
        <f>IFERROR(VLOOKUP(A723,庫存!$A:$I,9,0),"")</f>
        <v/>
      </c>
    </row>
    <row r="724" spans="1:9" ht="23" customHeight="1" x14ac:dyDescent="0.35">
      <c r="A724" s="57"/>
      <c r="B724" s="34" t="str">
        <f>IFERROR(VLOOKUP(A724,庫存!$A:$I,2,0),"")</f>
        <v/>
      </c>
      <c r="C724" s="34" t="str">
        <f>IFERROR(VLOOKUP(A724,庫存!$A:$I,3,0),"")</f>
        <v/>
      </c>
      <c r="D724" s="54"/>
      <c r="E724" s="35" t="str">
        <f t="shared" si="22"/>
        <v/>
      </c>
      <c r="F724" s="45" t="str">
        <f>IFERROR(VLOOKUP(A724,庫存!$A:$I,4,0),"0")</f>
        <v>0</v>
      </c>
      <c r="G724" s="43" t="str">
        <f t="shared" si="23"/>
        <v/>
      </c>
      <c r="H724" s="24" t="str">
        <f>IFERROR(VLOOKUP(A724,庫存!$A:$I,8,0),"")</f>
        <v/>
      </c>
      <c r="I724" s="24" t="str">
        <f>IFERROR(VLOOKUP(A724,庫存!$A:$I,9,0),"")</f>
        <v/>
      </c>
    </row>
    <row r="725" spans="1:9" ht="23" customHeight="1" x14ac:dyDescent="0.35">
      <c r="A725" s="57"/>
      <c r="B725" s="34" t="str">
        <f>IFERROR(VLOOKUP(A725,庫存!$A:$I,2,0),"")</f>
        <v/>
      </c>
      <c r="C725" s="34" t="str">
        <f>IFERROR(VLOOKUP(A725,庫存!$A:$I,3,0),"")</f>
        <v/>
      </c>
      <c r="D725" s="54"/>
      <c r="E725" s="35" t="str">
        <f t="shared" si="22"/>
        <v/>
      </c>
      <c r="F725" s="45" t="str">
        <f>IFERROR(VLOOKUP(A725,庫存!$A:$I,4,0),"0")</f>
        <v>0</v>
      </c>
      <c r="G725" s="43" t="str">
        <f t="shared" si="23"/>
        <v/>
      </c>
      <c r="H725" s="24" t="str">
        <f>IFERROR(VLOOKUP(A725,庫存!$A:$I,8,0),"")</f>
        <v/>
      </c>
      <c r="I725" s="24" t="str">
        <f>IFERROR(VLOOKUP(A725,庫存!$A:$I,9,0),"")</f>
        <v/>
      </c>
    </row>
    <row r="726" spans="1:9" ht="23" customHeight="1" x14ac:dyDescent="0.35">
      <c r="A726" s="57"/>
      <c r="B726" s="34" t="str">
        <f>IFERROR(VLOOKUP(A726,庫存!$A:$I,2,0),"")</f>
        <v/>
      </c>
      <c r="C726" s="34" t="str">
        <f>IFERROR(VLOOKUP(A726,庫存!$A:$I,3,0),"")</f>
        <v/>
      </c>
      <c r="D726" s="54"/>
      <c r="E726" s="35" t="str">
        <f t="shared" si="22"/>
        <v/>
      </c>
      <c r="F726" s="45" t="str">
        <f>IFERROR(VLOOKUP(A726,庫存!$A:$I,4,0),"0")</f>
        <v>0</v>
      </c>
      <c r="G726" s="43" t="str">
        <f t="shared" si="23"/>
        <v/>
      </c>
      <c r="H726" s="24" t="str">
        <f>IFERROR(VLOOKUP(A726,庫存!$A:$I,8,0),"")</f>
        <v/>
      </c>
      <c r="I726" s="24" t="str">
        <f>IFERROR(VLOOKUP(A726,庫存!$A:$I,9,0),"")</f>
        <v/>
      </c>
    </row>
    <row r="727" spans="1:9" ht="23" customHeight="1" x14ac:dyDescent="0.35">
      <c r="A727" s="57"/>
      <c r="B727" s="34" t="str">
        <f>IFERROR(VLOOKUP(A727,庫存!$A:$I,2,0),"")</f>
        <v/>
      </c>
      <c r="C727" s="34" t="str">
        <f>IFERROR(VLOOKUP(A727,庫存!$A:$I,3,0),"")</f>
        <v/>
      </c>
      <c r="D727" s="54"/>
      <c r="E727" s="35" t="str">
        <f t="shared" si="22"/>
        <v/>
      </c>
      <c r="F727" s="45" t="str">
        <f>IFERROR(VLOOKUP(A727,庫存!$A:$I,4,0),"0")</f>
        <v>0</v>
      </c>
      <c r="G727" s="43" t="str">
        <f t="shared" si="23"/>
        <v/>
      </c>
      <c r="H727" s="24" t="str">
        <f>IFERROR(VLOOKUP(A727,庫存!$A:$I,8,0),"")</f>
        <v/>
      </c>
      <c r="I727" s="24" t="str">
        <f>IFERROR(VLOOKUP(A727,庫存!$A:$I,9,0),"")</f>
        <v/>
      </c>
    </row>
    <row r="728" spans="1:9" ht="23" customHeight="1" x14ac:dyDescent="0.35">
      <c r="A728" s="57"/>
      <c r="B728" s="34" t="str">
        <f>IFERROR(VLOOKUP(A728,庫存!$A:$I,2,0),"")</f>
        <v/>
      </c>
      <c r="C728" s="34" t="str">
        <f>IFERROR(VLOOKUP(A728,庫存!$A:$I,3,0),"")</f>
        <v/>
      </c>
      <c r="D728" s="54"/>
      <c r="E728" s="35" t="str">
        <f t="shared" si="22"/>
        <v/>
      </c>
      <c r="F728" s="45" t="str">
        <f>IFERROR(VLOOKUP(A728,庫存!$A:$I,4,0),"0")</f>
        <v>0</v>
      </c>
      <c r="G728" s="43" t="str">
        <f t="shared" si="23"/>
        <v/>
      </c>
      <c r="H728" s="24" t="str">
        <f>IFERROR(VLOOKUP(A728,庫存!$A:$I,8,0),"")</f>
        <v/>
      </c>
      <c r="I728" s="24" t="str">
        <f>IFERROR(VLOOKUP(A728,庫存!$A:$I,9,0),"")</f>
        <v/>
      </c>
    </row>
    <row r="729" spans="1:9" ht="23" customHeight="1" x14ac:dyDescent="0.35">
      <c r="A729" s="57"/>
      <c r="B729" s="34" t="str">
        <f>IFERROR(VLOOKUP(A729,庫存!$A:$I,2,0),"")</f>
        <v/>
      </c>
      <c r="C729" s="34" t="str">
        <f>IFERROR(VLOOKUP(A729,庫存!$A:$I,3,0),"")</f>
        <v/>
      </c>
      <c r="D729" s="54"/>
      <c r="E729" s="35" t="str">
        <f t="shared" si="22"/>
        <v/>
      </c>
      <c r="F729" s="45" t="str">
        <f>IFERROR(VLOOKUP(A729,庫存!$A:$I,4,0),"0")</f>
        <v>0</v>
      </c>
      <c r="G729" s="43" t="str">
        <f t="shared" si="23"/>
        <v/>
      </c>
      <c r="H729" s="24" t="str">
        <f>IFERROR(VLOOKUP(A729,庫存!$A:$I,8,0),"")</f>
        <v/>
      </c>
      <c r="I729" s="24" t="str">
        <f>IFERROR(VLOOKUP(A729,庫存!$A:$I,9,0),"")</f>
        <v/>
      </c>
    </row>
    <row r="730" spans="1:9" ht="23" customHeight="1" x14ac:dyDescent="0.35">
      <c r="A730" s="57"/>
      <c r="B730" s="34" t="str">
        <f>IFERROR(VLOOKUP(A730,庫存!$A:$I,2,0),"")</f>
        <v/>
      </c>
      <c r="C730" s="34" t="str">
        <f>IFERROR(VLOOKUP(A730,庫存!$A:$I,3,0),"")</f>
        <v/>
      </c>
      <c r="D730" s="54"/>
      <c r="E730" s="35" t="str">
        <f t="shared" si="22"/>
        <v/>
      </c>
      <c r="F730" s="45" t="str">
        <f>IFERROR(VLOOKUP(A730,庫存!$A:$I,4,0),"0")</f>
        <v>0</v>
      </c>
      <c r="G730" s="43" t="str">
        <f t="shared" si="23"/>
        <v/>
      </c>
      <c r="H730" s="24" t="str">
        <f>IFERROR(VLOOKUP(A730,庫存!$A:$I,8,0),"")</f>
        <v/>
      </c>
      <c r="I730" s="24" t="str">
        <f>IFERROR(VLOOKUP(A730,庫存!$A:$I,9,0),"")</f>
        <v/>
      </c>
    </row>
    <row r="731" spans="1:9" ht="23" customHeight="1" x14ac:dyDescent="0.35">
      <c r="A731" s="57"/>
      <c r="B731" s="34" t="str">
        <f>IFERROR(VLOOKUP(A731,庫存!$A:$I,2,0),"")</f>
        <v/>
      </c>
      <c r="C731" s="34" t="str">
        <f>IFERROR(VLOOKUP(A731,庫存!$A:$I,3,0),"")</f>
        <v/>
      </c>
      <c r="D731" s="54"/>
      <c r="E731" s="35" t="str">
        <f t="shared" si="22"/>
        <v/>
      </c>
      <c r="F731" s="45" t="str">
        <f>IFERROR(VLOOKUP(A731,庫存!$A:$I,4,0),"0")</f>
        <v>0</v>
      </c>
      <c r="G731" s="43" t="str">
        <f t="shared" si="23"/>
        <v/>
      </c>
      <c r="H731" s="24" t="str">
        <f>IFERROR(VLOOKUP(A731,庫存!$A:$I,8,0),"")</f>
        <v/>
      </c>
      <c r="I731" s="24" t="str">
        <f>IFERROR(VLOOKUP(A731,庫存!$A:$I,9,0),"")</f>
        <v/>
      </c>
    </row>
    <row r="732" spans="1:9" ht="23" customHeight="1" x14ac:dyDescent="0.35">
      <c r="A732" s="57"/>
      <c r="B732" s="34" t="str">
        <f>IFERROR(VLOOKUP(A732,庫存!$A:$I,2,0),"")</f>
        <v/>
      </c>
      <c r="C732" s="34" t="str">
        <f>IFERROR(VLOOKUP(A732,庫存!$A:$I,3,0),"")</f>
        <v/>
      </c>
      <c r="D732" s="54"/>
      <c r="E732" s="35" t="str">
        <f t="shared" si="22"/>
        <v/>
      </c>
      <c r="F732" s="45" t="str">
        <f>IFERROR(VLOOKUP(A732,庫存!$A:$I,4,0),"0")</f>
        <v>0</v>
      </c>
      <c r="G732" s="43" t="str">
        <f t="shared" si="23"/>
        <v/>
      </c>
      <c r="H732" s="24" t="str">
        <f>IFERROR(VLOOKUP(A732,庫存!$A:$I,8,0),"")</f>
        <v/>
      </c>
      <c r="I732" s="24" t="str">
        <f>IFERROR(VLOOKUP(A732,庫存!$A:$I,9,0),"")</f>
        <v/>
      </c>
    </row>
    <row r="733" spans="1:9" ht="23" customHeight="1" x14ac:dyDescent="0.35">
      <c r="A733" s="57"/>
      <c r="B733" s="34" t="str">
        <f>IFERROR(VLOOKUP(A733,庫存!$A:$I,2,0),"")</f>
        <v/>
      </c>
      <c r="C733" s="34" t="str">
        <f>IFERROR(VLOOKUP(A733,庫存!$A:$I,3,0),"")</f>
        <v/>
      </c>
      <c r="D733" s="54"/>
      <c r="E733" s="35" t="str">
        <f t="shared" si="22"/>
        <v/>
      </c>
      <c r="F733" s="45" t="str">
        <f>IFERROR(VLOOKUP(A733,庫存!$A:$I,4,0),"0")</f>
        <v>0</v>
      </c>
      <c r="G733" s="43" t="str">
        <f t="shared" si="23"/>
        <v/>
      </c>
      <c r="H733" s="24" t="str">
        <f>IFERROR(VLOOKUP(A733,庫存!$A:$I,8,0),"")</f>
        <v/>
      </c>
      <c r="I733" s="24" t="str">
        <f>IFERROR(VLOOKUP(A733,庫存!$A:$I,9,0),"")</f>
        <v/>
      </c>
    </row>
    <row r="734" spans="1:9" ht="23" customHeight="1" x14ac:dyDescent="0.35">
      <c r="A734" s="57"/>
      <c r="B734" s="34" t="str">
        <f>IFERROR(VLOOKUP(A734,庫存!$A:$I,2,0),"")</f>
        <v/>
      </c>
      <c r="C734" s="34" t="str">
        <f>IFERROR(VLOOKUP(A734,庫存!$A:$I,3,0),"")</f>
        <v/>
      </c>
      <c r="D734" s="54"/>
      <c r="E734" s="35" t="str">
        <f t="shared" si="22"/>
        <v/>
      </c>
      <c r="F734" s="45" t="str">
        <f>IFERROR(VLOOKUP(A734,庫存!$A:$I,4,0),"0")</f>
        <v>0</v>
      </c>
      <c r="G734" s="43" t="str">
        <f t="shared" si="23"/>
        <v/>
      </c>
      <c r="H734" s="24" t="str">
        <f>IFERROR(VLOOKUP(A734,庫存!$A:$I,8,0),"")</f>
        <v/>
      </c>
      <c r="I734" s="24" t="str">
        <f>IFERROR(VLOOKUP(A734,庫存!$A:$I,9,0),"")</f>
        <v/>
      </c>
    </row>
    <row r="735" spans="1:9" ht="23" customHeight="1" x14ac:dyDescent="0.35">
      <c r="A735" s="57"/>
      <c r="B735" s="34" t="str">
        <f>IFERROR(VLOOKUP(A735,庫存!$A:$I,2,0),"")</f>
        <v/>
      </c>
      <c r="C735" s="34" t="str">
        <f>IFERROR(VLOOKUP(A735,庫存!$A:$I,3,0),"")</f>
        <v/>
      </c>
      <c r="D735" s="54"/>
      <c r="E735" s="35" t="str">
        <f t="shared" si="22"/>
        <v/>
      </c>
      <c r="F735" s="45" t="str">
        <f>IFERROR(VLOOKUP(A735,庫存!$A:$I,4,0),"0")</f>
        <v>0</v>
      </c>
      <c r="G735" s="43" t="str">
        <f t="shared" si="23"/>
        <v/>
      </c>
      <c r="H735" s="24" t="str">
        <f>IFERROR(VLOOKUP(A735,庫存!$A:$I,8,0),"")</f>
        <v/>
      </c>
      <c r="I735" s="24" t="str">
        <f>IFERROR(VLOOKUP(A735,庫存!$A:$I,9,0),"")</f>
        <v/>
      </c>
    </row>
    <row r="736" spans="1:9" ht="23" customHeight="1" x14ac:dyDescent="0.35">
      <c r="A736" s="57"/>
      <c r="B736" s="34" t="str">
        <f>IFERROR(VLOOKUP(A736,庫存!$A:$I,2,0),"")</f>
        <v/>
      </c>
      <c r="C736" s="34" t="str">
        <f>IFERROR(VLOOKUP(A736,庫存!$A:$I,3,0),"")</f>
        <v/>
      </c>
      <c r="D736" s="54"/>
      <c r="E736" s="35" t="str">
        <f t="shared" si="22"/>
        <v/>
      </c>
      <c r="F736" s="45" t="str">
        <f>IFERROR(VLOOKUP(A736,庫存!$A:$I,4,0),"0")</f>
        <v>0</v>
      </c>
      <c r="G736" s="43" t="str">
        <f t="shared" si="23"/>
        <v/>
      </c>
      <c r="H736" s="24" t="str">
        <f>IFERROR(VLOOKUP(A736,庫存!$A:$I,8,0),"")</f>
        <v/>
      </c>
      <c r="I736" s="24" t="str">
        <f>IFERROR(VLOOKUP(A736,庫存!$A:$I,9,0),"")</f>
        <v/>
      </c>
    </row>
    <row r="737" spans="1:9" ht="23" customHeight="1" x14ac:dyDescent="0.35">
      <c r="A737" s="57"/>
      <c r="B737" s="34" t="str">
        <f>IFERROR(VLOOKUP(A737,庫存!$A:$I,2,0),"")</f>
        <v/>
      </c>
      <c r="C737" s="34" t="str">
        <f>IFERROR(VLOOKUP(A737,庫存!$A:$I,3,0),"")</f>
        <v/>
      </c>
      <c r="D737" s="54"/>
      <c r="E737" s="35" t="str">
        <f t="shared" si="22"/>
        <v/>
      </c>
      <c r="F737" s="45" t="str">
        <f>IFERROR(VLOOKUP(A737,庫存!$A:$I,4,0),"0")</f>
        <v>0</v>
      </c>
      <c r="G737" s="43" t="str">
        <f t="shared" si="23"/>
        <v/>
      </c>
      <c r="H737" s="24" t="str">
        <f>IFERROR(VLOOKUP(A737,庫存!$A:$I,8,0),"")</f>
        <v/>
      </c>
      <c r="I737" s="24" t="str">
        <f>IFERROR(VLOOKUP(A737,庫存!$A:$I,9,0),"")</f>
        <v/>
      </c>
    </row>
    <row r="738" spans="1:9" ht="23" customHeight="1" x14ac:dyDescent="0.35">
      <c r="A738" s="57"/>
      <c r="B738" s="34" t="str">
        <f>IFERROR(VLOOKUP(A738,庫存!$A:$I,2,0),"")</f>
        <v/>
      </c>
      <c r="C738" s="34" t="str">
        <f>IFERROR(VLOOKUP(A738,庫存!$A:$I,3,0),"")</f>
        <v/>
      </c>
      <c r="D738" s="54"/>
      <c r="E738" s="35" t="str">
        <f t="shared" si="22"/>
        <v/>
      </c>
      <c r="F738" s="45" t="str">
        <f>IFERROR(VLOOKUP(A738,庫存!$A:$I,4,0),"0")</f>
        <v>0</v>
      </c>
      <c r="G738" s="43" t="str">
        <f t="shared" si="23"/>
        <v/>
      </c>
      <c r="H738" s="24" t="str">
        <f>IFERROR(VLOOKUP(A738,庫存!$A:$I,8,0),"")</f>
        <v/>
      </c>
      <c r="I738" s="24" t="str">
        <f>IFERROR(VLOOKUP(A738,庫存!$A:$I,9,0),"")</f>
        <v/>
      </c>
    </row>
    <row r="739" spans="1:9" ht="23" customHeight="1" x14ac:dyDescent="0.35">
      <c r="A739" s="57"/>
      <c r="B739" s="34" t="str">
        <f>IFERROR(VLOOKUP(A739,庫存!$A:$I,2,0),"")</f>
        <v/>
      </c>
      <c r="C739" s="34" t="str">
        <f>IFERROR(VLOOKUP(A739,庫存!$A:$I,3,0),"")</f>
        <v/>
      </c>
      <c r="D739" s="54"/>
      <c r="E739" s="35" t="str">
        <f t="shared" si="22"/>
        <v/>
      </c>
      <c r="F739" s="45" t="str">
        <f>IFERROR(VLOOKUP(A739,庫存!$A:$I,4,0),"0")</f>
        <v>0</v>
      </c>
      <c r="G739" s="43" t="str">
        <f t="shared" si="23"/>
        <v/>
      </c>
      <c r="H739" s="24" t="str">
        <f>IFERROR(VLOOKUP(A739,庫存!$A:$I,8,0),"")</f>
        <v/>
      </c>
      <c r="I739" s="24" t="str">
        <f>IFERROR(VLOOKUP(A739,庫存!$A:$I,9,0),"")</f>
        <v/>
      </c>
    </row>
    <row r="740" spans="1:9" ht="23" customHeight="1" x14ac:dyDescent="0.35">
      <c r="A740" s="57"/>
      <c r="B740" s="34" t="str">
        <f>IFERROR(VLOOKUP(A740,庫存!$A:$I,2,0),"")</f>
        <v/>
      </c>
      <c r="C740" s="34" t="str">
        <f>IFERROR(VLOOKUP(A740,庫存!$A:$I,3,0),"")</f>
        <v/>
      </c>
      <c r="D740" s="54"/>
      <c r="E740" s="35" t="str">
        <f t="shared" si="22"/>
        <v/>
      </c>
      <c r="F740" s="45" t="str">
        <f>IFERROR(VLOOKUP(A740,庫存!$A:$I,4,0),"0")</f>
        <v>0</v>
      </c>
      <c r="G740" s="43" t="str">
        <f t="shared" si="23"/>
        <v/>
      </c>
      <c r="H740" s="24" t="str">
        <f>IFERROR(VLOOKUP(A740,庫存!$A:$I,8,0),"")</f>
        <v/>
      </c>
      <c r="I740" s="24" t="str">
        <f>IFERROR(VLOOKUP(A740,庫存!$A:$I,9,0),"")</f>
        <v/>
      </c>
    </row>
    <row r="741" spans="1:9" ht="23" customHeight="1" x14ac:dyDescent="0.35">
      <c r="A741" s="57"/>
      <c r="B741" s="34" t="str">
        <f>IFERROR(VLOOKUP(A741,庫存!$A:$I,2,0),"")</f>
        <v/>
      </c>
      <c r="C741" s="34" t="str">
        <f>IFERROR(VLOOKUP(A741,庫存!$A:$I,3,0),"")</f>
        <v/>
      </c>
      <c r="D741" s="54"/>
      <c r="E741" s="35" t="str">
        <f t="shared" si="22"/>
        <v/>
      </c>
      <c r="F741" s="45" t="str">
        <f>IFERROR(VLOOKUP(A741,庫存!$A:$I,4,0),"0")</f>
        <v>0</v>
      </c>
      <c r="G741" s="43" t="str">
        <f t="shared" si="23"/>
        <v/>
      </c>
      <c r="H741" s="24" t="str">
        <f>IFERROR(VLOOKUP(A741,庫存!$A:$I,8,0),"")</f>
        <v/>
      </c>
      <c r="I741" s="24" t="str">
        <f>IFERROR(VLOOKUP(A741,庫存!$A:$I,9,0),"")</f>
        <v/>
      </c>
    </row>
    <row r="742" spans="1:9" ht="23" customHeight="1" x14ac:dyDescent="0.35">
      <c r="A742" s="57"/>
      <c r="B742" s="34" t="str">
        <f>IFERROR(VLOOKUP(A742,庫存!$A:$I,2,0),"")</f>
        <v/>
      </c>
      <c r="C742" s="34" t="str">
        <f>IFERROR(VLOOKUP(A742,庫存!$A:$I,3,0),"")</f>
        <v/>
      </c>
      <c r="D742" s="54"/>
      <c r="E742" s="35" t="str">
        <f t="shared" si="22"/>
        <v/>
      </c>
      <c r="F742" s="45" t="str">
        <f>IFERROR(VLOOKUP(A742,庫存!$A:$I,4,0),"0")</f>
        <v>0</v>
      </c>
      <c r="G742" s="43" t="str">
        <f t="shared" si="23"/>
        <v/>
      </c>
      <c r="H742" s="24" t="str">
        <f>IFERROR(VLOOKUP(A742,庫存!$A:$I,8,0),"")</f>
        <v/>
      </c>
      <c r="I742" s="24" t="str">
        <f>IFERROR(VLOOKUP(A742,庫存!$A:$I,9,0),"")</f>
        <v/>
      </c>
    </row>
    <row r="743" spans="1:9" ht="23" customHeight="1" x14ac:dyDescent="0.35">
      <c r="A743" s="57"/>
      <c r="B743" s="34" t="str">
        <f>IFERROR(VLOOKUP(A743,庫存!$A:$I,2,0),"")</f>
        <v/>
      </c>
      <c r="C743" s="34" t="str">
        <f>IFERROR(VLOOKUP(A743,庫存!$A:$I,3,0),"")</f>
        <v/>
      </c>
      <c r="D743" s="54"/>
      <c r="E743" s="35" t="str">
        <f t="shared" si="22"/>
        <v/>
      </c>
      <c r="F743" s="45" t="str">
        <f>IFERROR(VLOOKUP(A743,庫存!$A:$I,4,0),"0")</f>
        <v>0</v>
      </c>
      <c r="G743" s="43" t="str">
        <f t="shared" si="23"/>
        <v/>
      </c>
      <c r="H743" s="24" t="str">
        <f>IFERROR(VLOOKUP(A743,庫存!$A:$I,8,0),"")</f>
        <v/>
      </c>
      <c r="I743" s="24" t="str">
        <f>IFERROR(VLOOKUP(A743,庫存!$A:$I,9,0),"")</f>
        <v/>
      </c>
    </row>
    <row r="744" spans="1:9" ht="23" customHeight="1" x14ac:dyDescent="0.35">
      <c r="A744" s="57"/>
      <c r="B744" s="34" t="str">
        <f>IFERROR(VLOOKUP(A744,庫存!$A:$I,2,0),"")</f>
        <v/>
      </c>
      <c r="C744" s="34" t="str">
        <f>IFERROR(VLOOKUP(A744,庫存!$A:$I,3,0),"")</f>
        <v/>
      </c>
      <c r="D744" s="54"/>
      <c r="E744" s="35" t="str">
        <f t="shared" si="22"/>
        <v/>
      </c>
      <c r="F744" s="45" t="str">
        <f>IFERROR(VLOOKUP(A744,庫存!$A:$I,4,0),"0")</f>
        <v>0</v>
      </c>
      <c r="G744" s="43" t="str">
        <f t="shared" si="23"/>
        <v/>
      </c>
      <c r="H744" s="24" t="str">
        <f>IFERROR(VLOOKUP(A744,庫存!$A:$I,8,0),"")</f>
        <v/>
      </c>
      <c r="I744" s="24" t="str">
        <f>IFERROR(VLOOKUP(A744,庫存!$A:$I,9,0),"")</f>
        <v/>
      </c>
    </row>
    <row r="745" spans="1:9" ht="23" customHeight="1" x14ac:dyDescent="0.35">
      <c r="A745" s="57"/>
      <c r="B745" s="34" t="str">
        <f>IFERROR(VLOOKUP(A745,庫存!$A:$I,2,0),"")</f>
        <v/>
      </c>
      <c r="C745" s="34" t="str">
        <f>IFERROR(VLOOKUP(A745,庫存!$A:$I,3,0),"")</f>
        <v/>
      </c>
      <c r="D745" s="54"/>
      <c r="E745" s="35" t="str">
        <f t="shared" si="22"/>
        <v/>
      </c>
      <c r="F745" s="45" t="str">
        <f>IFERROR(VLOOKUP(A745,庫存!$A:$I,4,0),"0")</f>
        <v>0</v>
      </c>
      <c r="G745" s="43" t="str">
        <f t="shared" si="23"/>
        <v/>
      </c>
      <c r="H745" s="24" t="str">
        <f>IFERROR(VLOOKUP(A745,庫存!$A:$I,8,0),"")</f>
        <v/>
      </c>
      <c r="I745" s="24" t="str">
        <f>IFERROR(VLOOKUP(A745,庫存!$A:$I,9,0),"")</f>
        <v/>
      </c>
    </row>
    <row r="746" spans="1:9" ht="23" customHeight="1" x14ac:dyDescent="0.35">
      <c r="A746" s="57"/>
      <c r="B746" s="34" t="str">
        <f>IFERROR(VLOOKUP(A746,庫存!$A:$I,2,0),"")</f>
        <v/>
      </c>
      <c r="C746" s="34" t="str">
        <f>IFERROR(VLOOKUP(A746,庫存!$A:$I,3,0),"")</f>
        <v/>
      </c>
      <c r="D746" s="54"/>
      <c r="E746" s="35" t="str">
        <f t="shared" si="22"/>
        <v/>
      </c>
      <c r="F746" s="45" t="str">
        <f>IFERROR(VLOOKUP(A746,庫存!$A:$I,4,0),"0")</f>
        <v>0</v>
      </c>
      <c r="G746" s="43" t="str">
        <f t="shared" si="23"/>
        <v/>
      </c>
      <c r="H746" s="24" t="str">
        <f>IFERROR(VLOOKUP(A746,庫存!$A:$I,8,0),"")</f>
        <v/>
      </c>
      <c r="I746" s="24" t="str">
        <f>IFERROR(VLOOKUP(A746,庫存!$A:$I,9,0),"")</f>
        <v/>
      </c>
    </row>
    <row r="747" spans="1:9" ht="23" customHeight="1" x14ac:dyDescent="0.35">
      <c r="A747" s="57"/>
      <c r="B747" s="34" t="str">
        <f>IFERROR(VLOOKUP(A747,庫存!$A:$I,2,0),"")</f>
        <v/>
      </c>
      <c r="C747" s="34" t="str">
        <f>IFERROR(VLOOKUP(A747,庫存!$A:$I,3,0),"")</f>
        <v/>
      </c>
      <c r="D747" s="54"/>
      <c r="E747" s="35" t="str">
        <f t="shared" si="22"/>
        <v/>
      </c>
      <c r="F747" s="45" t="str">
        <f>IFERROR(VLOOKUP(A747,庫存!$A:$I,4,0),"0")</f>
        <v>0</v>
      </c>
      <c r="G747" s="43" t="str">
        <f t="shared" si="23"/>
        <v/>
      </c>
      <c r="H747" s="24" t="str">
        <f>IFERROR(VLOOKUP(A747,庫存!$A:$I,8,0),"")</f>
        <v/>
      </c>
      <c r="I747" s="24" t="str">
        <f>IFERROR(VLOOKUP(A747,庫存!$A:$I,9,0),"")</f>
        <v/>
      </c>
    </row>
    <row r="748" spans="1:9" ht="23" customHeight="1" x14ac:dyDescent="0.35">
      <c r="A748" s="57"/>
      <c r="B748" s="34" t="str">
        <f>IFERROR(VLOOKUP(A748,庫存!$A:$I,2,0),"")</f>
        <v/>
      </c>
      <c r="C748" s="34" t="str">
        <f>IFERROR(VLOOKUP(A748,庫存!$A:$I,3,0),"")</f>
        <v/>
      </c>
      <c r="D748" s="54"/>
      <c r="E748" s="35" t="str">
        <f t="shared" si="22"/>
        <v/>
      </c>
      <c r="F748" s="45" t="str">
        <f>IFERROR(VLOOKUP(A748,庫存!$A:$I,4,0),"0")</f>
        <v>0</v>
      </c>
      <c r="G748" s="43" t="str">
        <f t="shared" si="23"/>
        <v/>
      </c>
      <c r="H748" s="24" t="str">
        <f>IFERROR(VLOOKUP(A748,庫存!$A:$I,8,0),"")</f>
        <v/>
      </c>
      <c r="I748" s="24" t="str">
        <f>IFERROR(VLOOKUP(A748,庫存!$A:$I,9,0),"")</f>
        <v/>
      </c>
    </row>
    <row r="749" spans="1:9" ht="23" customHeight="1" x14ac:dyDescent="0.35">
      <c r="A749" s="57"/>
      <c r="B749" s="34" t="str">
        <f>IFERROR(VLOOKUP(A749,庫存!$A:$I,2,0),"")</f>
        <v/>
      </c>
      <c r="C749" s="34" t="str">
        <f>IFERROR(VLOOKUP(A749,庫存!$A:$I,3,0),"")</f>
        <v/>
      </c>
      <c r="D749" s="54"/>
      <c r="E749" s="35" t="str">
        <f t="shared" si="22"/>
        <v/>
      </c>
      <c r="F749" s="45" t="str">
        <f>IFERROR(VLOOKUP(A749,庫存!$A:$I,4,0),"0")</f>
        <v>0</v>
      </c>
      <c r="G749" s="43" t="str">
        <f t="shared" si="23"/>
        <v/>
      </c>
      <c r="H749" s="24" t="str">
        <f>IFERROR(VLOOKUP(A749,庫存!$A:$I,8,0),"")</f>
        <v/>
      </c>
      <c r="I749" s="24" t="str">
        <f>IFERROR(VLOOKUP(A749,庫存!$A:$I,9,0),"")</f>
        <v/>
      </c>
    </row>
    <row r="750" spans="1:9" ht="23" customHeight="1" x14ac:dyDescent="0.35">
      <c r="A750" s="57"/>
      <c r="B750" s="34" t="str">
        <f>IFERROR(VLOOKUP(A750,庫存!$A:$I,2,0),"")</f>
        <v/>
      </c>
      <c r="C750" s="34" t="str">
        <f>IFERROR(VLOOKUP(A750,庫存!$A:$I,3,0),"")</f>
        <v/>
      </c>
      <c r="D750" s="54"/>
      <c r="E750" s="35" t="str">
        <f t="shared" si="22"/>
        <v/>
      </c>
      <c r="F750" s="45" t="str">
        <f>IFERROR(VLOOKUP(A750,庫存!$A:$I,4,0),"0")</f>
        <v>0</v>
      </c>
      <c r="G750" s="43" t="str">
        <f t="shared" si="23"/>
        <v/>
      </c>
      <c r="H750" s="24" t="str">
        <f>IFERROR(VLOOKUP(A750,庫存!$A:$I,8,0),"")</f>
        <v/>
      </c>
      <c r="I750" s="24" t="str">
        <f>IFERROR(VLOOKUP(A750,庫存!$A:$I,9,0),"")</f>
        <v/>
      </c>
    </row>
    <row r="751" spans="1:9" ht="23" customHeight="1" x14ac:dyDescent="0.35">
      <c r="A751" s="57"/>
      <c r="B751" s="34" t="str">
        <f>IFERROR(VLOOKUP(A751,庫存!$A:$I,2,0),"")</f>
        <v/>
      </c>
      <c r="C751" s="34" t="str">
        <f>IFERROR(VLOOKUP(A751,庫存!$A:$I,3,0),"")</f>
        <v/>
      </c>
      <c r="D751" s="54"/>
      <c r="E751" s="35" t="str">
        <f t="shared" si="22"/>
        <v/>
      </c>
      <c r="F751" s="45" t="str">
        <f>IFERROR(VLOOKUP(A751,庫存!$A:$I,4,0),"0")</f>
        <v>0</v>
      </c>
      <c r="G751" s="43" t="str">
        <f t="shared" si="23"/>
        <v/>
      </c>
      <c r="H751" s="24" t="str">
        <f>IFERROR(VLOOKUP(A751,庫存!$A:$I,8,0),"")</f>
        <v/>
      </c>
      <c r="I751" s="24" t="str">
        <f>IFERROR(VLOOKUP(A751,庫存!$A:$I,9,0),"")</f>
        <v/>
      </c>
    </row>
    <row r="752" spans="1:9" ht="23" customHeight="1" x14ac:dyDescent="0.35">
      <c r="A752" s="57"/>
      <c r="B752" s="34" t="str">
        <f>IFERROR(VLOOKUP(A752,庫存!$A:$I,2,0),"")</f>
        <v/>
      </c>
      <c r="C752" s="34" t="str">
        <f>IFERROR(VLOOKUP(A752,庫存!$A:$I,3,0),"")</f>
        <v/>
      </c>
      <c r="D752" s="54"/>
      <c r="E752" s="35" t="str">
        <f t="shared" si="22"/>
        <v/>
      </c>
      <c r="F752" s="45" t="str">
        <f>IFERROR(VLOOKUP(A752,庫存!$A:$I,4,0),"0")</f>
        <v>0</v>
      </c>
      <c r="G752" s="43" t="str">
        <f t="shared" si="23"/>
        <v/>
      </c>
      <c r="H752" s="24" t="str">
        <f>IFERROR(VLOOKUP(A752,庫存!$A:$I,8,0),"")</f>
        <v/>
      </c>
      <c r="I752" s="24" t="str">
        <f>IFERROR(VLOOKUP(A752,庫存!$A:$I,9,0),"")</f>
        <v/>
      </c>
    </row>
    <row r="753" spans="1:9" ht="23" customHeight="1" x14ac:dyDescent="0.35">
      <c r="A753" s="57"/>
      <c r="B753" s="34" t="str">
        <f>IFERROR(VLOOKUP(A753,庫存!$A:$I,2,0),"")</f>
        <v/>
      </c>
      <c r="C753" s="34" t="str">
        <f>IFERROR(VLOOKUP(A753,庫存!$A:$I,3,0),"")</f>
        <v/>
      </c>
      <c r="D753" s="54"/>
      <c r="E753" s="35" t="str">
        <f t="shared" si="22"/>
        <v/>
      </c>
      <c r="F753" s="45" t="str">
        <f>IFERROR(VLOOKUP(A753,庫存!$A:$I,4,0),"0")</f>
        <v>0</v>
      </c>
      <c r="G753" s="43" t="str">
        <f t="shared" si="23"/>
        <v/>
      </c>
      <c r="H753" s="24" t="str">
        <f>IFERROR(VLOOKUP(A753,庫存!$A:$I,8,0),"")</f>
        <v/>
      </c>
      <c r="I753" s="24" t="str">
        <f>IFERROR(VLOOKUP(A753,庫存!$A:$I,9,0),"")</f>
        <v/>
      </c>
    </row>
    <row r="754" spans="1:9" ht="23" customHeight="1" x14ac:dyDescent="0.35">
      <c r="A754" s="57"/>
      <c r="B754" s="34" t="str">
        <f>IFERROR(VLOOKUP(A754,庫存!$A:$I,2,0),"")</f>
        <v/>
      </c>
      <c r="C754" s="34" t="str">
        <f>IFERROR(VLOOKUP(A754,庫存!$A:$I,3,0),"")</f>
        <v/>
      </c>
      <c r="D754" s="54"/>
      <c r="E754" s="35" t="str">
        <f t="shared" si="22"/>
        <v/>
      </c>
      <c r="F754" s="45" t="str">
        <f>IFERROR(VLOOKUP(A754,庫存!$A:$I,4,0),"0")</f>
        <v>0</v>
      </c>
      <c r="G754" s="43" t="str">
        <f t="shared" si="23"/>
        <v/>
      </c>
      <c r="H754" s="24" t="str">
        <f>IFERROR(VLOOKUP(A754,庫存!$A:$I,8,0),"")</f>
        <v/>
      </c>
      <c r="I754" s="24" t="str">
        <f>IFERROR(VLOOKUP(A754,庫存!$A:$I,9,0),"")</f>
        <v/>
      </c>
    </row>
    <row r="755" spans="1:9" ht="23" customHeight="1" x14ac:dyDescent="0.35">
      <c r="A755" s="57"/>
      <c r="B755" s="34" t="str">
        <f>IFERROR(VLOOKUP(A755,庫存!$A:$I,2,0),"")</f>
        <v/>
      </c>
      <c r="C755" s="34" t="str">
        <f>IFERROR(VLOOKUP(A755,庫存!$A:$I,3,0),"")</f>
        <v/>
      </c>
      <c r="D755" s="54"/>
      <c r="E755" s="35" t="str">
        <f t="shared" si="22"/>
        <v/>
      </c>
      <c r="F755" s="45" t="str">
        <f>IFERROR(VLOOKUP(A755,庫存!$A:$I,4,0),"0")</f>
        <v>0</v>
      </c>
      <c r="G755" s="43" t="str">
        <f t="shared" si="23"/>
        <v/>
      </c>
      <c r="H755" s="24" t="str">
        <f>IFERROR(VLOOKUP(A755,庫存!$A:$I,8,0),"")</f>
        <v/>
      </c>
      <c r="I755" s="24" t="str">
        <f>IFERROR(VLOOKUP(A755,庫存!$A:$I,9,0),"")</f>
        <v/>
      </c>
    </row>
    <row r="756" spans="1:9" ht="23" customHeight="1" x14ac:dyDescent="0.35">
      <c r="A756" s="57"/>
      <c r="B756" s="34" t="str">
        <f>IFERROR(VLOOKUP(A756,庫存!$A:$I,2,0),"")</f>
        <v/>
      </c>
      <c r="C756" s="34" t="str">
        <f>IFERROR(VLOOKUP(A756,庫存!$A:$I,3,0),"")</f>
        <v/>
      </c>
      <c r="D756" s="54"/>
      <c r="E756" s="35" t="str">
        <f t="shared" si="22"/>
        <v/>
      </c>
      <c r="F756" s="45" t="str">
        <f>IFERROR(VLOOKUP(A756,庫存!$A:$I,4,0),"0")</f>
        <v>0</v>
      </c>
      <c r="G756" s="43" t="str">
        <f t="shared" si="23"/>
        <v/>
      </c>
      <c r="H756" s="24" t="str">
        <f>IFERROR(VLOOKUP(A756,庫存!$A:$I,8,0),"")</f>
        <v/>
      </c>
      <c r="I756" s="24" t="str">
        <f>IFERROR(VLOOKUP(A756,庫存!$A:$I,9,0),"")</f>
        <v/>
      </c>
    </row>
    <row r="757" spans="1:9" ht="23" customHeight="1" x14ac:dyDescent="0.35">
      <c r="A757" s="57"/>
      <c r="B757" s="34" t="str">
        <f>IFERROR(VLOOKUP(A757,庫存!$A:$I,2,0),"")</f>
        <v/>
      </c>
      <c r="C757" s="34" t="str">
        <f>IFERROR(VLOOKUP(A757,庫存!$A:$I,3,0),"")</f>
        <v/>
      </c>
      <c r="D757" s="54"/>
      <c r="E757" s="35" t="str">
        <f t="shared" si="22"/>
        <v/>
      </c>
      <c r="F757" s="45" t="str">
        <f>IFERROR(VLOOKUP(A757,庫存!$A:$I,4,0),"0")</f>
        <v>0</v>
      </c>
      <c r="G757" s="43" t="str">
        <f t="shared" si="23"/>
        <v/>
      </c>
      <c r="H757" s="24" t="str">
        <f>IFERROR(VLOOKUP(A757,庫存!$A:$I,8,0),"")</f>
        <v/>
      </c>
      <c r="I757" s="24" t="str">
        <f>IFERROR(VLOOKUP(A757,庫存!$A:$I,9,0),"")</f>
        <v/>
      </c>
    </row>
    <row r="758" spans="1:9" ht="23" customHeight="1" x14ac:dyDescent="0.35">
      <c r="A758" s="57"/>
      <c r="B758" s="34" t="str">
        <f>IFERROR(VLOOKUP(A758,庫存!$A:$I,2,0),"")</f>
        <v/>
      </c>
      <c r="C758" s="34" t="str">
        <f>IFERROR(VLOOKUP(A758,庫存!$A:$I,3,0),"")</f>
        <v/>
      </c>
      <c r="D758" s="54"/>
      <c r="E758" s="35" t="str">
        <f t="shared" si="22"/>
        <v/>
      </c>
      <c r="F758" s="45" t="str">
        <f>IFERROR(VLOOKUP(A758,庫存!$A:$I,4,0),"0")</f>
        <v>0</v>
      </c>
      <c r="G758" s="43" t="str">
        <f t="shared" si="23"/>
        <v/>
      </c>
      <c r="H758" s="24" t="str">
        <f>IFERROR(VLOOKUP(A758,庫存!$A:$I,8,0),"")</f>
        <v/>
      </c>
      <c r="I758" s="24" t="str">
        <f>IFERROR(VLOOKUP(A758,庫存!$A:$I,9,0),"")</f>
        <v/>
      </c>
    </row>
    <row r="759" spans="1:9" ht="23" customHeight="1" x14ac:dyDescent="0.35">
      <c r="A759" s="57"/>
      <c r="B759" s="34" t="str">
        <f>IFERROR(VLOOKUP(A759,庫存!$A:$I,2,0),"")</f>
        <v/>
      </c>
      <c r="C759" s="34" t="str">
        <f>IFERROR(VLOOKUP(A759,庫存!$A:$I,3,0),"")</f>
        <v/>
      </c>
      <c r="D759" s="54"/>
      <c r="E759" s="35" t="str">
        <f t="shared" si="22"/>
        <v/>
      </c>
      <c r="F759" s="45" t="str">
        <f>IFERROR(VLOOKUP(A759,庫存!$A:$I,4,0),"0")</f>
        <v>0</v>
      </c>
      <c r="G759" s="43" t="str">
        <f t="shared" si="23"/>
        <v/>
      </c>
      <c r="H759" s="24" t="str">
        <f>IFERROR(VLOOKUP(A759,庫存!$A:$I,8,0),"")</f>
        <v/>
      </c>
      <c r="I759" s="24" t="str">
        <f>IFERROR(VLOOKUP(A759,庫存!$A:$I,9,0),"")</f>
        <v/>
      </c>
    </row>
    <row r="760" spans="1:9" ht="23" customHeight="1" x14ac:dyDescent="0.35">
      <c r="A760" s="57"/>
      <c r="B760" s="34" t="str">
        <f>IFERROR(VLOOKUP(A760,庫存!$A:$I,2,0),"")</f>
        <v/>
      </c>
      <c r="C760" s="34" t="str">
        <f>IFERROR(VLOOKUP(A760,庫存!$A:$I,3,0),"")</f>
        <v/>
      </c>
      <c r="D760" s="54"/>
      <c r="E760" s="35" t="str">
        <f t="shared" si="22"/>
        <v/>
      </c>
      <c r="F760" s="45" t="str">
        <f>IFERROR(VLOOKUP(A760,庫存!$A:$I,4,0),"0")</f>
        <v>0</v>
      </c>
      <c r="G760" s="43" t="str">
        <f t="shared" si="23"/>
        <v/>
      </c>
      <c r="H760" s="24" t="str">
        <f>IFERROR(VLOOKUP(A760,庫存!$A:$I,8,0),"")</f>
        <v/>
      </c>
      <c r="I760" s="24" t="str">
        <f>IFERROR(VLOOKUP(A760,庫存!$A:$I,9,0),"")</f>
        <v/>
      </c>
    </row>
    <row r="761" spans="1:9" ht="23" customHeight="1" x14ac:dyDescent="0.35">
      <c r="A761" s="57"/>
      <c r="B761" s="34" t="str">
        <f>IFERROR(VLOOKUP(A761,庫存!$A:$I,2,0),"")</f>
        <v/>
      </c>
      <c r="C761" s="34" t="str">
        <f>IFERROR(VLOOKUP(A761,庫存!$A:$I,3,0),"")</f>
        <v/>
      </c>
      <c r="D761" s="54"/>
      <c r="E761" s="35" t="str">
        <f t="shared" si="22"/>
        <v/>
      </c>
      <c r="F761" s="45" t="str">
        <f>IFERROR(VLOOKUP(A761,庫存!$A:$I,4,0),"0")</f>
        <v>0</v>
      </c>
      <c r="G761" s="43" t="str">
        <f t="shared" si="23"/>
        <v/>
      </c>
      <c r="H761" s="24" t="str">
        <f>IFERROR(VLOOKUP(A761,庫存!$A:$I,8,0),"")</f>
        <v/>
      </c>
      <c r="I761" s="24" t="str">
        <f>IFERROR(VLOOKUP(A761,庫存!$A:$I,9,0),"")</f>
        <v/>
      </c>
    </row>
    <row r="762" spans="1:9" ht="23" customHeight="1" x14ac:dyDescent="0.35">
      <c r="A762" s="57"/>
      <c r="B762" s="34" t="str">
        <f>IFERROR(VLOOKUP(A762,庫存!$A:$I,2,0),"")</f>
        <v/>
      </c>
      <c r="C762" s="34" t="str">
        <f>IFERROR(VLOOKUP(A762,庫存!$A:$I,3,0),"")</f>
        <v/>
      </c>
      <c r="D762" s="54"/>
      <c r="E762" s="35" t="str">
        <f t="shared" si="22"/>
        <v/>
      </c>
      <c r="F762" s="45" t="str">
        <f>IFERROR(VLOOKUP(A762,庫存!$A:$I,4,0),"0")</f>
        <v>0</v>
      </c>
      <c r="G762" s="43" t="str">
        <f t="shared" si="23"/>
        <v/>
      </c>
      <c r="H762" s="24" t="str">
        <f>IFERROR(VLOOKUP(A762,庫存!$A:$I,8,0),"")</f>
        <v/>
      </c>
      <c r="I762" s="24" t="str">
        <f>IFERROR(VLOOKUP(A762,庫存!$A:$I,9,0),"")</f>
        <v/>
      </c>
    </row>
    <row r="763" spans="1:9" ht="23" customHeight="1" x14ac:dyDescent="0.35">
      <c r="A763" s="57"/>
      <c r="B763" s="34" t="str">
        <f>IFERROR(VLOOKUP(A763,庫存!$A:$I,2,0),"")</f>
        <v/>
      </c>
      <c r="C763" s="34" t="str">
        <f>IFERROR(VLOOKUP(A763,庫存!$A:$I,3,0),"")</f>
        <v/>
      </c>
      <c r="D763" s="54"/>
      <c r="E763" s="35" t="str">
        <f t="shared" si="22"/>
        <v/>
      </c>
      <c r="F763" s="45" t="str">
        <f>IFERROR(VLOOKUP(A763,庫存!$A:$I,4,0),"0")</f>
        <v>0</v>
      </c>
      <c r="G763" s="43" t="str">
        <f t="shared" si="23"/>
        <v/>
      </c>
      <c r="H763" s="24" t="str">
        <f>IFERROR(VLOOKUP(A763,庫存!$A:$I,8,0),"")</f>
        <v/>
      </c>
      <c r="I763" s="24" t="str">
        <f>IFERROR(VLOOKUP(A763,庫存!$A:$I,9,0),"")</f>
        <v/>
      </c>
    </row>
    <row r="764" spans="1:9" ht="23" customHeight="1" x14ac:dyDescent="0.35">
      <c r="A764" s="57"/>
      <c r="B764" s="34" t="str">
        <f>IFERROR(VLOOKUP(A764,庫存!$A:$I,2,0),"")</f>
        <v/>
      </c>
      <c r="C764" s="34" t="str">
        <f>IFERROR(VLOOKUP(A764,庫存!$A:$I,3,0),"")</f>
        <v/>
      </c>
      <c r="D764" s="54"/>
      <c r="E764" s="35" t="str">
        <f t="shared" si="22"/>
        <v/>
      </c>
      <c r="F764" s="45" t="str">
        <f>IFERROR(VLOOKUP(A764,庫存!$A:$I,4,0),"0")</f>
        <v>0</v>
      </c>
      <c r="G764" s="43" t="str">
        <f t="shared" si="23"/>
        <v/>
      </c>
      <c r="H764" s="24" t="str">
        <f>IFERROR(VLOOKUP(A764,庫存!$A:$I,8,0),"")</f>
        <v/>
      </c>
      <c r="I764" s="24" t="str">
        <f>IFERROR(VLOOKUP(A764,庫存!$A:$I,9,0),"")</f>
        <v/>
      </c>
    </row>
    <row r="765" spans="1:9" ht="23" customHeight="1" x14ac:dyDescent="0.35">
      <c r="A765" s="57"/>
      <c r="B765" s="34" t="str">
        <f>IFERROR(VLOOKUP(A765,庫存!$A:$I,2,0),"")</f>
        <v/>
      </c>
      <c r="C765" s="34" t="str">
        <f>IFERROR(VLOOKUP(A765,庫存!$A:$I,3,0),"")</f>
        <v/>
      </c>
      <c r="D765" s="54"/>
      <c r="E765" s="35" t="str">
        <f t="shared" si="22"/>
        <v/>
      </c>
      <c r="F765" s="45" t="str">
        <f>IFERROR(VLOOKUP(A765,庫存!$A:$I,4,0),"0")</f>
        <v>0</v>
      </c>
      <c r="G765" s="43" t="str">
        <f t="shared" si="23"/>
        <v/>
      </c>
      <c r="H765" s="24" t="str">
        <f>IFERROR(VLOOKUP(A765,庫存!$A:$I,8,0),"")</f>
        <v/>
      </c>
      <c r="I765" s="24" t="str">
        <f>IFERROR(VLOOKUP(A765,庫存!$A:$I,9,0),"")</f>
        <v/>
      </c>
    </row>
    <row r="766" spans="1:9" ht="23" customHeight="1" x14ac:dyDescent="0.35">
      <c r="A766" s="57"/>
      <c r="B766" s="34" t="str">
        <f>IFERROR(VLOOKUP(A766,庫存!$A:$I,2,0),"")</f>
        <v/>
      </c>
      <c r="C766" s="34" t="str">
        <f>IFERROR(VLOOKUP(A766,庫存!$A:$I,3,0),"")</f>
        <v/>
      </c>
      <c r="D766" s="54"/>
      <c r="E766" s="35" t="str">
        <f t="shared" si="22"/>
        <v/>
      </c>
      <c r="F766" s="45" t="str">
        <f>IFERROR(VLOOKUP(A766,庫存!$A:$I,4,0),"0")</f>
        <v>0</v>
      </c>
      <c r="G766" s="43" t="str">
        <f t="shared" si="23"/>
        <v/>
      </c>
      <c r="H766" s="24" t="str">
        <f>IFERROR(VLOOKUP(A766,庫存!$A:$I,8,0),"")</f>
        <v/>
      </c>
      <c r="I766" s="24" t="str">
        <f>IFERROR(VLOOKUP(A766,庫存!$A:$I,9,0),"")</f>
        <v/>
      </c>
    </row>
    <row r="767" spans="1:9" ht="23" customHeight="1" x14ac:dyDescent="0.35">
      <c r="A767" s="57"/>
      <c r="B767" s="34" t="str">
        <f>IFERROR(VLOOKUP(A767,庫存!$A:$I,2,0),"")</f>
        <v/>
      </c>
      <c r="C767" s="34" t="str">
        <f>IFERROR(VLOOKUP(A767,庫存!$A:$I,3,0),"")</f>
        <v/>
      </c>
      <c r="D767" s="54"/>
      <c r="E767" s="35" t="str">
        <f t="shared" si="22"/>
        <v/>
      </c>
      <c r="F767" s="45" t="str">
        <f>IFERROR(VLOOKUP(A767,庫存!$A:$I,4,0),"0")</f>
        <v>0</v>
      </c>
      <c r="G767" s="43" t="str">
        <f t="shared" si="23"/>
        <v/>
      </c>
      <c r="H767" s="24" t="str">
        <f>IFERROR(VLOOKUP(A767,庫存!$A:$I,8,0),"")</f>
        <v/>
      </c>
      <c r="I767" s="24" t="str">
        <f>IFERROR(VLOOKUP(A767,庫存!$A:$I,9,0),"")</f>
        <v/>
      </c>
    </row>
    <row r="768" spans="1:9" ht="23" customHeight="1" x14ac:dyDescent="0.35">
      <c r="A768" s="57"/>
      <c r="B768" s="34" t="str">
        <f>IFERROR(VLOOKUP(A768,庫存!$A:$I,2,0),"")</f>
        <v/>
      </c>
      <c r="C768" s="34" t="str">
        <f>IFERROR(VLOOKUP(A768,庫存!$A:$I,3,0),"")</f>
        <v/>
      </c>
      <c r="D768" s="54"/>
      <c r="E768" s="35" t="str">
        <f t="shared" si="22"/>
        <v/>
      </c>
      <c r="F768" s="45" t="str">
        <f>IFERROR(VLOOKUP(A768,庫存!$A:$I,4,0),"0")</f>
        <v>0</v>
      </c>
      <c r="G768" s="43" t="str">
        <f t="shared" si="23"/>
        <v/>
      </c>
      <c r="H768" s="24" t="str">
        <f>IFERROR(VLOOKUP(A768,庫存!$A:$I,8,0),"")</f>
        <v/>
      </c>
      <c r="I768" s="24" t="str">
        <f>IFERROR(VLOOKUP(A768,庫存!$A:$I,9,0),"")</f>
        <v/>
      </c>
    </row>
    <row r="769" spans="1:9" ht="23" customHeight="1" x14ac:dyDescent="0.35">
      <c r="A769" s="57"/>
      <c r="B769" s="34" t="str">
        <f>IFERROR(VLOOKUP(A769,庫存!$A:$I,2,0),"")</f>
        <v/>
      </c>
      <c r="C769" s="34" t="str">
        <f>IFERROR(VLOOKUP(A769,庫存!$A:$I,3,0),"")</f>
        <v/>
      </c>
      <c r="D769" s="54"/>
      <c r="E769" s="35" t="str">
        <f t="shared" si="22"/>
        <v/>
      </c>
      <c r="F769" s="45" t="str">
        <f>IFERROR(VLOOKUP(A769,庫存!$A:$I,4,0),"0")</f>
        <v>0</v>
      </c>
      <c r="G769" s="43" t="str">
        <f t="shared" si="23"/>
        <v/>
      </c>
      <c r="H769" s="24" t="str">
        <f>IFERROR(VLOOKUP(A769,庫存!$A:$I,8,0),"")</f>
        <v/>
      </c>
      <c r="I769" s="24" t="str">
        <f>IFERROR(VLOOKUP(A769,庫存!$A:$I,9,0),"")</f>
        <v/>
      </c>
    </row>
    <row r="770" spans="1:9" ht="23" customHeight="1" x14ac:dyDescent="0.35">
      <c r="A770" s="57"/>
      <c r="B770" s="34" t="str">
        <f>IFERROR(VLOOKUP(A770,庫存!$A:$I,2,0),"")</f>
        <v/>
      </c>
      <c r="C770" s="34" t="str">
        <f>IFERROR(VLOOKUP(A770,庫存!$A:$I,3,0),"")</f>
        <v/>
      </c>
      <c r="D770" s="54"/>
      <c r="E770" s="35" t="str">
        <f t="shared" ref="E770:E833" si="24">IF(D770*$E$1=0,"",D770*$E$1)</f>
        <v/>
      </c>
      <c r="F770" s="45" t="str">
        <f>IFERROR(VLOOKUP(A770,庫存!$A:$I,4,0),"0")</f>
        <v>0</v>
      </c>
      <c r="G770" s="43" t="str">
        <f t="shared" ref="G770:G833" si="25">IFERROR(F770-E770,"")</f>
        <v/>
      </c>
      <c r="H770" s="24" t="str">
        <f>IFERROR(VLOOKUP(A770,庫存!$A:$I,8,0),"")</f>
        <v/>
      </c>
      <c r="I770" s="24" t="str">
        <f>IFERROR(VLOOKUP(A770,庫存!$A:$I,9,0),"")</f>
        <v/>
      </c>
    </row>
    <row r="771" spans="1:9" ht="23" customHeight="1" x14ac:dyDescent="0.35">
      <c r="A771" s="57"/>
      <c r="B771" s="34" t="str">
        <f>IFERROR(VLOOKUP(A771,庫存!$A:$I,2,0),"")</f>
        <v/>
      </c>
      <c r="C771" s="34" t="str">
        <f>IFERROR(VLOOKUP(A771,庫存!$A:$I,3,0),"")</f>
        <v/>
      </c>
      <c r="D771" s="54"/>
      <c r="E771" s="35" t="str">
        <f t="shared" si="24"/>
        <v/>
      </c>
      <c r="F771" s="45" t="str">
        <f>IFERROR(VLOOKUP(A771,庫存!$A:$I,4,0),"0")</f>
        <v>0</v>
      </c>
      <c r="G771" s="43" t="str">
        <f t="shared" si="25"/>
        <v/>
      </c>
      <c r="H771" s="24" t="str">
        <f>IFERROR(VLOOKUP(A771,庫存!$A:$I,8,0),"")</f>
        <v/>
      </c>
      <c r="I771" s="24" t="str">
        <f>IFERROR(VLOOKUP(A771,庫存!$A:$I,9,0),"")</f>
        <v/>
      </c>
    </row>
    <row r="772" spans="1:9" ht="23" customHeight="1" x14ac:dyDescent="0.35">
      <c r="A772" s="57"/>
      <c r="B772" s="34" t="str">
        <f>IFERROR(VLOOKUP(A772,庫存!$A:$I,2,0),"")</f>
        <v/>
      </c>
      <c r="C772" s="34" t="str">
        <f>IFERROR(VLOOKUP(A772,庫存!$A:$I,3,0),"")</f>
        <v/>
      </c>
      <c r="D772" s="54"/>
      <c r="E772" s="35" t="str">
        <f t="shared" si="24"/>
        <v/>
      </c>
      <c r="F772" s="45" t="str">
        <f>IFERROR(VLOOKUP(A772,庫存!$A:$I,4,0),"0")</f>
        <v>0</v>
      </c>
      <c r="G772" s="43" t="str">
        <f t="shared" si="25"/>
        <v/>
      </c>
      <c r="H772" s="24" t="str">
        <f>IFERROR(VLOOKUP(A772,庫存!$A:$I,8,0),"")</f>
        <v/>
      </c>
      <c r="I772" s="24" t="str">
        <f>IFERROR(VLOOKUP(A772,庫存!$A:$I,9,0),"")</f>
        <v/>
      </c>
    </row>
    <row r="773" spans="1:9" ht="23" customHeight="1" x14ac:dyDescent="0.35">
      <c r="A773" s="57"/>
      <c r="B773" s="34" t="str">
        <f>IFERROR(VLOOKUP(A773,庫存!$A:$I,2,0),"")</f>
        <v/>
      </c>
      <c r="C773" s="34" t="str">
        <f>IFERROR(VLOOKUP(A773,庫存!$A:$I,3,0),"")</f>
        <v/>
      </c>
      <c r="D773" s="54"/>
      <c r="E773" s="35" t="str">
        <f t="shared" si="24"/>
        <v/>
      </c>
      <c r="F773" s="45" t="str">
        <f>IFERROR(VLOOKUP(A773,庫存!$A:$I,4,0),"0")</f>
        <v>0</v>
      </c>
      <c r="G773" s="43" t="str">
        <f t="shared" si="25"/>
        <v/>
      </c>
      <c r="H773" s="24" t="str">
        <f>IFERROR(VLOOKUP(A773,庫存!$A:$I,8,0),"")</f>
        <v/>
      </c>
      <c r="I773" s="24" t="str">
        <f>IFERROR(VLOOKUP(A773,庫存!$A:$I,9,0),"")</f>
        <v/>
      </c>
    </row>
    <row r="774" spans="1:9" ht="23" customHeight="1" x14ac:dyDescent="0.35">
      <c r="A774" s="57"/>
      <c r="B774" s="34" t="str">
        <f>IFERROR(VLOOKUP(A774,庫存!$A:$I,2,0),"")</f>
        <v/>
      </c>
      <c r="C774" s="34" t="str">
        <f>IFERROR(VLOOKUP(A774,庫存!$A:$I,3,0),"")</f>
        <v/>
      </c>
      <c r="D774" s="54"/>
      <c r="E774" s="35" t="str">
        <f t="shared" si="24"/>
        <v/>
      </c>
      <c r="F774" s="45" t="str">
        <f>IFERROR(VLOOKUP(A774,庫存!$A:$I,4,0),"0")</f>
        <v>0</v>
      </c>
      <c r="G774" s="43" t="str">
        <f t="shared" si="25"/>
        <v/>
      </c>
      <c r="H774" s="24" t="str">
        <f>IFERROR(VLOOKUP(A774,庫存!$A:$I,8,0),"")</f>
        <v/>
      </c>
      <c r="I774" s="24" t="str">
        <f>IFERROR(VLOOKUP(A774,庫存!$A:$I,9,0),"")</f>
        <v/>
      </c>
    </row>
    <row r="775" spans="1:9" ht="23" customHeight="1" x14ac:dyDescent="0.35">
      <c r="A775" s="57"/>
      <c r="B775" s="34" t="str">
        <f>IFERROR(VLOOKUP(A775,庫存!$A:$I,2,0),"")</f>
        <v/>
      </c>
      <c r="C775" s="34" t="str">
        <f>IFERROR(VLOOKUP(A775,庫存!$A:$I,3,0),"")</f>
        <v/>
      </c>
      <c r="D775" s="54"/>
      <c r="E775" s="35" t="str">
        <f t="shared" si="24"/>
        <v/>
      </c>
      <c r="F775" s="45" t="str">
        <f>IFERROR(VLOOKUP(A775,庫存!$A:$I,4,0),"0")</f>
        <v>0</v>
      </c>
      <c r="G775" s="43" t="str">
        <f t="shared" si="25"/>
        <v/>
      </c>
      <c r="H775" s="24" t="str">
        <f>IFERROR(VLOOKUP(A775,庫存!$A:$I,8,0),"")</f>
        <v/>
      </c>
      <c r="I775" s="24" t="str">
        <f>IFERROR(VLOOKUP(A775,庫存!$A:$I,9,0),"")</f>
        <v/>
      </c>
    </row>
    <row r="776" spans="1:9" ht="23" customHeight="1" x14ac:dyDescent="0.35">
      <c r="A776" s="57"/>
      <c r="B776" s="34" t="str">
        <f>IFERROR(VLOOKUP(A776,庫存!$A:$I,2,0),"")</f>
        <v/>
      </c>
      <c r="C776" s="34" t="str">
        <f>IFERROR(VLOOKUP(A776,庫存!$A:$I,3,0),"")</f>
        <v/>
      </c>
      <c r="D776" s="54"/>
      <c r="E776" s="35" t="str">
        <f t="shared" si="24"/>
        <v/>
      </c>
      <c r="F776" s="45" t="str">
        <f>IFERROR(VLOOKUP(A776,庫存!$A:$I,4,0),"0")</f>
        <v>0</v>
      </c>
      <c r="G776" s="43" t="str">
        <f t="shared" si="25"/>
        <v/>
      </c>
      <c r="H776" s="24" t="str">
        <f>IFERROR(VLOOKUP(A776,庫存!$A:$I,8,0),"")</f>
        <v/>
      </c>
      <c r="I776" s="24" t="str">
        <f>IFERROR(VLOOKUP(A776,庫存!$A:$I,9,0),"")</f>
        <v/>
      </c>
    </row>
    <row r="777" spans="1:9" ht="23" customHeight="1" x14ac:dyDescent="0.35">
      <c r="A777" s="57"/>
      <c r="B777" s="34" t="str">
        <f>IFERROR(VLOOKUP(A777,庫存!$A:$I,2,0),"")</f>
        <v/>
      </c>
      <c r="C777" s="34" t="str">
        <f>IFERROR(VLOOKUP(A777,庫存!$A:$I,3,0),"")</f>
        <v/>
      </c>
      <c r="D777" s="54"/>
      <c r="E777" s="35" t="str">
        <f t="shared" si="24"/>
        <v/>
      </c>
      <c r="F777" s="45" t="str">
        <f>IFERROR(VLOOKUP(A777,庫存!$A:$I,4,0),"0")</f>
        <v>0</v>
      </c>
      <c r="G777" s="43" t="str">
        <f t="shared" si="25"/>
        <v/>
      </c>
      <c r="H777" s="24" t="str">
        <f>IFERROR(VLOOKUP(A777,庫存!$A:$I,8,0),"")</f>
        <v/>
      </c>
      <c r="I777" s="24" t="str">
        <f>IFERROR(VLOOKUP(A777,庫存!$A:$I,9,0),"")</f>
        <v/>
      </c>
    </row>
    <row r="778" spans="1:9" ht="23" customHeight="1" x14ac:dyDescent="0.35">
      <c r="A778" s="57"/>
      <c r="B778" s="34" t="str">
        <f>IFERROR(VLOOKUP(A778,庫存!$A:$I,2,0),"")</f>
        <v/>
      </c>
      <c r="C778" s="34" t="str">
        <f>IFERROR(VLOOKUP(A778,庫存!$A:$I,3,0),"")</f>
        <v/>
      </c>
      <c r="D778" s="54"/>
      <c r="E778" s="35" t="str">
        <f t="shared" si="24"/>
        <v/>
      </c>
      <c r="F778" s="45" t="str">
        <f>IFERROR(VLOOKUP(A778,庫存!$A:$I,4,0),"0")</f>
        <v>0</v>
      </c>
      <c r="G778" s="43" t="str">
        <f t="shared" si="25"/>
        <v/>
      </c>
      <c r="H778" s="24" t="str">
        <f>IFERROR(VLOOKUP(A778,庫存!$A:$I,8,0),"")</f>
        <v/>
      </c>
      <c r="I778" s="24" t="str">
        <f>IFERROR(VLOOKUP(A778,庫存!$A:$I,9,0),"")</f>
        <v/>
      </c>
    </row>
    <row r="779" spans="1:9" ht="23" customHeight="1" x14ac:dyDescent="0.35">
      <c r="A779" s="57"/>
      <c r="B779" s="34" t="str">
        <f>IFERROR(VLOOKUP(A779,庫存!$A:$I,2,0),"")</f>
        <v/>
      </c>
      <c r="C779" s="34" t="str">
        <f>IFERROR(VLOOKUP(A779,庫存!$A:$I,3,0),"")</f>
        <v/>
      </c>
      <c r="D779" s="54"/>
      <c r="E779" s="35" t="str">
        <f t="shared" si="24"/>
        <v/>
      </c>
      <c r="F779" s="45" t="str">
        <f>IFERROR(VLOOKUP(A779,庫存!$A:$I,4,0),"0")</f>
        <v>0</v>
      </c>
      <c r="G779" s="43" t="str">
        <f t="shared" si="25"/>
        <v/>
      </c>
      <c r="H779" s="24" t="str">
        <f>IFERROR(VLOOKUP(A779,庫存!$A:$I,8,0),"")</f>
        <v/>
      </c>
      <c r="I779" s="24" t="str">
        <f>IFERROR(VLOOKUP(A779,庫存!$A:$I,9,0),"")</f>
        <v/>
      </c>
    </row>
    <row r="780" spans="1:9" ht="23" customHeight="1" x14ac:dyDescent="0.35">
      <c r="A780" s="57"/>
      <c r="B780" s="34" t="str">
        <f>IFERROR(VLOOKUP(A780,庫存!$A:$I,2,0),"")</f>
        <v/>
      </c>
      <c r="C780" s="34" t="str">
        <f>IFERROR(VLOOKUP(A780,庫存!$A:$I,3,0),"")</f>
        <v/>
      </c>
      <c r="D780" s="54"/>
      <c r="E780" s="35" t="str">
        <f t="shared" si="24"/>
        <v/>
      </c>
      <c r="F780" s="45" t="str">
        <f>IFERROR(VLOOKUP(A780,庫存!$A:$I,4,0),"0")</f>
        <v>0</v>
      </c>
      <c r="G780" s="43" t="str">
        <f t="shared" si="25"/>
        <v/>
      </c>
      <c r="H780" s="24" t="str">
        <f>IFERROR(VLOOKUP(A780,庫存!$A:$I,8,0),"")</f>
        <v/>
      </c>
      <c r="I780" s="24" t="str">
        <f>IFERROR(VLOOKUP(A780,庫存!$A:$I,9,0),"")</f>
        <v/>
      </c>
    </row>
    <row r="781" spans="1:9" ht="23" customHeight="1" x14ac:dyDescent="0.35">
      <c r="A781" s="57"/>
      <c r="B781" s="34" t="str">
        <f>IFERROR(VLOOKUP(A781,庫存!$A:$I,2,0),"")</f>
        <v/>
      </c>
      <c r="C781" s="34" t="str">
        <f>IFERROR(VLOOKUP(A781,庫存!$A:$I,3,0),"")</f>
        <v/>
      </c>
      <c r="D781" s="54"/>
      <c r="E781" s="35" t="str">
        <f t="shared" si="24"/>
        <v/>
      </c>
      <c r="F781" s="45" t="str">
        <f>IFERROR(VLOOKUP(A781,庫存!$A:$I,4,0),"0")</f>
        <v>0</v>
      </c>
      <c r="G781" s="43" t="str">
        <f t="shared" si="25"/>
        <v/>
      </c>
      <c r="H781" s="24" t="str">
        <f>IFERROR(VLOOKUP(A781,庫存!$A:$I,8,0),"")</f>
        <v/>
      </c>
      <c r="I781" s="24" t="str">
        <f>IFERROR(VLOOKUP(A781,庫存!$A:$I,9,0),"")</f>
        <v/>
      </c>
    </row>
    <row r="782" spans="1:9" ht="23" customHeight="1" x14ac:dyDescent="0.35">
      <c r="A782" s="57"/>
      <c r="B782" s="34" t="str">
        <f>IFERROR(VLOOKUP(A782,庫存!$A:$I,2,0),"")</f>
        <v/>
      </c>
      <c r="C782" s="34" t="str">
        <f>IFERROR(VLOOKUP(A782,庫存!$A:$I,3,0),"")</f>
        <v/>
      </c>
      <c r="D782" s="54"/>
      <c r="E782" s="35" t="str">
        <f t="shared" si="24"/>
        <v/>
      </c>
      <c r="F782" s="45" t="str">
        <f>IFERROR(VLOOKUP(A782,庫存!$A:$I,4,0),"0")</f>
        <v>0</v>
      </c>
      <c r="G782" s="43" t="str">
        <f t="shared" si="25"/>
        <v/>
      </c>
      <c r="H782" s="24" t="str">
        <f>IFERROR(VLOOKUP(A782,庫存!$A:$I,8,0),"")</f>
        <v/>
      </c>
      <c r="I782" s="24" t="str">
        <f>IFERROR(VLOOKUP(A782,庫存!$A:$I,9,0),"")</f>
        <v/>
      </c>
    </row>
    <row r="783" spans="1:9" ht="23" customHeight="1" x14ac:dyDescent="0.35">
      <c r="A783" s="57"/>
      <c r="B783" s="34" t="str">
        <f>IFERROR(VLOOKUP(A783,庫存!$A:$I,2,0),"")</f>
        <v/>
      </c>
      <c r="C783" s="34" t="str">
        <f>IFERROR(VLOOKUP(A783,庫存!$A:$I,3,0),"")</f>
        <v/>
      </c>
      <c r="D783" s="54"/>
      <c r="E783" s="35" t="str">
        <f t="shared" si="24"/>
        <v/>
      </c>
      <c r="F783" s="45" t="str">
        <f>IFERROR(VLOOKUP(A783,庫存!$A:$I,4,0),"0")</f>
        <v>0</v>
      </c>
      <c r="G783" s="43" t="str">
        <f t="shared" si="25"/>
        <v/>
      </c>
      <c r="H783" s="24" t="str">
        <f>IFERROR(VLOOKUP(A783,庫存!$A:$I,8,0),"")</f>
        <v/>
      </c>
      <c r="I783" s="24" t="str">
        <f>IFERROR(VLOOKUP(A783,庫存!$A:$I,9,0),"")</f>
        <v/>
      </c>
    </row>
    <row r="784" spans="1:9" ht="23" customHeight="1" x14ac:dyDescent="0.35">
      <c r="A784" s="57"/>
      <c r="B784" s="34" t="str">
        <f>IFERROR(VLOOKUP(A784,庫存!$A:$I,2,0),"")</f>
        <v/>
      </c>
      <c r="C784" s="34" t="str">
        <f>IFERROR(VLOOKUP(A784,庫存!$A:$I,3,0),"")</f>
        <v/>
      </c>
      <c r="D784" s="54"/>
      <c r="E784" s="35" t="str">
        <f t="shared" si="24"/>
        <v/>
      </c>
      <c r="F784" s="45" t="str">
        <f>IFERROR(VLOOKUP(A784,庫存!$A:$I,4,0),"0")</f>
        <v>0</v>
      </c>
      <c r="G784" s="43" t="str">
        <f t="shared" si="25"/>
        <v/>
      </c>
      <c r="H784" s="24" t="str">
        <f>IFERROR(VLOOKUP(A784,庫存!$A:$I,8,0),"")</f>
        <v/>
      </c>
      <c r="I784" s="24" t="str">
        <f>IFERROR(VLOOKUP(A784,庫存!$A:$I,9,0),"")</f>
        <v/>
      </c>
    </row>
    <row r="785" spans="1:9" ht="23" customHeight="1" x14ac:dyDescent="0.35">
      <c r="A785" s="57"/>
      <c r="B785" s="34" t="str">
        <f>IFERROR(VLOOKUP(A785,庫存!$A:$I,2,0),"")</f>
        <v/>
      </c>
      <c r="C785" s="34" t="str">
        <f>IFERROR(VLOOKUP(A785,庫存!$A:$I,3,0),"")</f>
        <v/>
      </c>
      <c r="D785" s="54"/>
      <c r="E785" s="35" t="str">
        <f t="shared" si="24"/>
        <v/>
      </c>
      <c r="F785" s="45" t="str">
        <f>IFERROR(VLOOKUP(A785,庫存!$A:$I,4,0),"0")</f>
        <v>0</v>
      </c>
      <c r="G785" s="43" t="str">
        <f t="shared" si="25"/>
        <v/>
      </c>
      <c r="H785" s="24" t="str">
        <f>IFERROR(VLOOKUP(A785,庫存!$A:$I,8,0),"")</f>
        <v/>
      </c>
      <c r="I785" s="24" t="str">
        <f>IFERROR(VLOOKUP(A785,庫存!$A:$I,9,0),"")</f>
        <v/>
      </c>
    </row>
    <row r="786" spans="1:9" ht="23" customHeight="1" x14ac:dyDescent="0.35">
      <c r="A786" s="57"/>
      <c r="B786" s="34" t="str">
        <f>IFERROR(VLOOKUP(A786,庫存!$A:$I,2,0),"")</f>
        <v/>
      </c>
      <c r="C786" s="34" t="str">
        <f>IFERROR(VLOOKUP(A786,庫存!$A:$I,3,0),"")</f>
        <v/>
      </c>
      <c r="D786" s="54"/>
      <c r="E786" s="35" t="str">
        <f t="shared" si="24"/>
        <v/>
      </c>
      <c r="F786" s="45" t="str">
        <f>IFERROR(VLOOKUP(A786,庫存!$A:$I,4,0),"0")</f>
        <v>0</v>
      </c>
      <c r="G786" s="43" t="str">
        <f t="shared" si="25"/>
        <v/>
      </c>
      <c r="H786" s="24" t="str">
        <f>IFERROR(VLOOKUP(A786,庫存!$A:$I,8,0),"")</f>
        <v/>
      </c>
      <c r="I786" s="24" t="str">
        <f>IFERROR(VLOOKUP(A786,庫存!$A:$I,9,0),"")</f>
        <v/>
      </c>
    </row>
    <row r="787" spans="1:9" ht="23" customHeight="1" x14ac:dyDescent="0.35">
      <c r="A787" s="57"/>
      <c r="B787" s="34" t="str">
        <f>IFERROR(VLOOKUP(A787,庫存!$A:$I,2,0),"")</f>
        <v/>
      </c>
      <c r="C787" s="34" t="str">
        <f>IFERROR(VLOOKUP(A787,庫存!$A:$I,3,0),"")</f>
        <v/>
      </c>
      <c r="D787" s="54"/>
      <c r="E787" s="35" t="str">
        <f t="shared" si="24"/>
        <v/>
      </c>
      <c r="F787" s="45" t="str">
        <f>IFERROR(VLOOKUP(A787,庫存!$A:$I,4,0),"0")</f>
        <v>0</v>
      </c>
      <c r="G787" s="43" t="str">
        <f t="shared" si="25"/>
        <v/>
      </c>
      <c r="H787" s="24" t="str">
        <f>IFERROR(VLOOKUP(A787,庫存!$A:$I,8,0),"")</f>
        <v/>
      </c>
      <c r="I787" s="24" t="str">
        <f>IFERROR(VLOOKUP(A787,庫存!$A:$I,9,0),"")</f>
        <v/>
      </c>
    </row>
    <row r="788" spans="1:9" ht="23" customHeight="1" x14ac:dyDescent="0.35">
      <c r="A788" s="57"/>
      <c r="B788" s="34" t="str">
        <f>IFERROR(VLOOKUP(A788,庫存!$A:$I,2,0),"")</f>
        <v/>
      </c>
      <c r="C788" s="34" t="str">
        <f>IFERROR(VLOOKUP(A788,庫存!$A:$I,3,0),"")</f>
        <v/>
      </c>
      <c r="D788" s="54"/>
      <c r="E788" s="35" t="str">
        <f t="shared" si="24"/>
        <v/>
      </c>
      <c r="F788" s="45" t="str">
        <f>IFERROR(VLOOKUP(A788,庫存!$A:$I,4,0),"0")</f>
        <v>0</v>
      </c>
      <c r="G788" s="43" t="str">
        <f t="shared" si="25"/>
        <v/>
      </c>
      <c r="H788" s="24" t="str">
        <f>IFERROR(VLOOKUP(A788,庫存!$A:$I,8,0),"")</f>
        <v/>
      </c>
      <c r="I788" s="24" t="str">
        <f>IFERROR(VLOOKUP(A788,庫存!$A:$I,9,0),"")</f>
        <v/>
      </c>
    </row>
    <row r="789" spans="1:9" ht="23" customHeight="1" x14ac:dyDescent="0.35">
      <c r="A789" s="57"/>
      <c r="B789" s="34" t="str">
        <f>IFERROR(VLOOKUP(A789,庫存!$A:$I,2,0),"")</f>
        <v/>
      </c>
      <c r="C789" s="34" t="str">
        <f>IFERROR(VLOOKUP(A789,庫存!$A:$I,3,0),"")</f>
        <v/>
      </c>
      <c r="D789" s="54"/>
      <c r="E789" s="35" t="str">
        <f t="shared" si="24"/>
        <v/>
      </c>
      <c r="F789" s="45" t="str">
        <f>IFERROR(VLOOKUP(A789,庫存!$A:$I,4,0),"0")</f>
        <v>0</v>
      </c>
      <c r="G789" s="43" t="str">
        <f t="shared" si="25"/>
        <v/>
      </c>
      <c r="H789" s="24" t="str">
        <f>IFERROR(VLOOKUP(A789,庫存!$A:$I,8,0),"")</f>
        <v/>
      </c>
      <c r="I789" s="24" t="str">
        <f>IFERROR(VLOOKUP(A789,庫存!$A:$I,9,0),"")</f>
        <v/>
      </c>
    </row>
    <row r="790" spans="1:9" ht="23" customHeight="1" x14ac:dyDescent="0.35">
      <c r="A790" s="57"/>
      <c r="B790" s="34" t="str">
        <f>IFERROR(VLOOKUP(A790,庫存!$A:$I,2,0),"")</f>
        <v/>
      </c>
      <c r="C790" s="34" t="str">
        <f>IFERROR(VLOOKUP(A790,庫存!$A:$I,3,0),"")</f>
        <v/>
      </c>
      <c r="D790" s="54"/>
      <c r="E790" s="35" t="str">
        <f t="shared" si="24"/>
        <v/>
      </c>
      <c r="F790" s="45" t="str">
        <f>IFERROR(VLOOKUP(A790,庫存!$A:$I,4,0),"0")</f>
        <v>0</v>
      </c>
      <c r="G790" s="43" t="str">
        <f t="shared" si="25"/>
        <v/>
      </c>
      <c r="H790" s="24" t="str">
        <f>IFERROR(VLOOKUP(A790,庫存!$A:$I,8,0),"")</f>
        <v/>
      </c>
      <c r="I790" s="24" t="str">
        <f>IFERROR(VLOOKUP(A790,庫存!$A:$I,9,0),"")</f>
        <v/>
      </c>
    </row>
    <row r="791" spans="1:9" ht="23" customHeight="1" x14ac:dyDescent="0.35">
      <c r="A791" s="57"/>
      <c r="B791" s="34" t="str">
        <f>IFERROR(VLOOKUP(A791,庫存!$A:$I,2,0),"")</f>
        <v/>
      </c>
      <c r="C791" s="34" t="str">
        <f>IFERROR(VLOOKUP(A791,庫存!$A:$I,3,0),"")</f>
        <v/>
      </c>
      <c r="D791" s="54"/>
      <c r="E791" s="35" t="str">
        <f t="shared" si="24"/>
        <v/>
      </c>
      <c r="F791" s="45" t="str">
        <f>IFERROR(VLOOKUP(A791,庫存!$A:$I,4,0),"0")</f>
        <v>0</v>
      </c>
      <c r="G791" s="43" t="str">
        <f t="shared" si="25"/>
        <v/>
      </c>
      <c r="H791" s="24" t="str">
        <f>IFERROR(VLOOKUP(A791,庫存!$A:$I,8,0),"")</f>
        <v/>
      </c>
      <c r="I791" s="24" t="str">
        <f>IFERROR(VLOOKUP(A791,庫存!$A:$I,9,0),"")</f>
        <v/>
      </c>
    </row>
    <row r="792" spans="1:9" ht="23" customHeight="1" x14ac:dyDescent="0.35">
      <c r="A792" s="57"/>
      <c r="B792" s="34" t="str">
        <f>IFERROR(VLOOKUP(A792,庫存!$A:$I,2,0),"")</f>
        <v/>
      </c>
      <c r="C792" s="34" t="str">
        <f>IFERROR(VLOOKUP(A792,庫存!$A:$I,3,0),"")</f>
        <v/>
      </c>
      <c r="D792" s="54"/>
      <c r="E792" s="35" t="str">
        <f t="shared" si="24"/>
        <v/>
      </c>
      <c r="F792" s="45" t="str">
        <f>IFERROR(VLOOKUP(A792,庫存!$A:$I,4,0),"0")</f>
        <v>0</v>
      </c>
      <c r="G792" s="43" t="str">
        <f t="shared" si="25"/>
        <v/>
      </c>
      <c r="H792" s="24" t="str">
        <f>IFERROR(VLOOKUP(A792,庫存!$A:$I,8,0),"")</f>
        <v/>
      </c>
      <c r="I792" s="24" t="str">
        <f>IFERROR(VLOOKUP(A792,庫存!$A:$I,9,0),"")</f>
        <v/>
      </c>
    </row>
    <row r="793" spans="1:9" ht="23" customHeight="1" x14ac:dyDescent="0.35">
      <c r="A793" s="57"/>
      <c r="B793" s="34" t="str">
        <f>IFERROR(VLOOKUP(A793,庫存!$A:$I,2,0),"")</f>
        <v/>
      </c>
      <c r="C793" s="34" t="str">
        <f>IFERROR(VLOOKUP(A793,庫存!$A:$I,3,0),"")</f>
        <v/>
      </c>
      <c r="D793" s="54"/>
      <c r="E793" s="35" t="str">
        <f t="shared" si="24"/>
        <v/>
      </c>
      <c r="F793" s="45" t="str">
        <f>IFERROR(VLOOKUP(A793,庫存!$A:$I,4,0),"0")</f>
        <v>0</v>
      </c>
      <c r="G793" s="43" t="str">
        <f t="shared" si="25"/>
        <v/>
      </c>
      <c r="H793" s="24" t="str">
        <f>IFERROR(VLOOKUP(A793,庫存!$A:$I,8,0),"")</f>
        <v/>
      </c>
      <c r="I793" s="24" t="str">
        <f>IFERROR(VLOOKUP(A793,庫存!$A:$I,9,0),"")</f>
        <v/>
      </c>
    </row>
    <row r="794" spans="1:9" ht="23" customHeight="1" x14ac:dyDescent="0.35">
      <c r="A794" s="57"/>
      <c r="B794" s="34" t="str">
        <f>IFERROR(VLOOKUP(A794,庫存!$A:$I,2,0),"")</f>
        <v/>
      </c>
      <c r="C794" s="34" t="str">
        <f>IFERROR(VLOOKUP(A794,庫存!$A:$I,3,0),"")</f>
        <v/>
      </c>
      <c r="D794" s="54"/>
      <c r="E794" s="35" t="str">
        <f t="shared" si="24"/>
        <v/>
      </c>
      <c r="F794" s="45" t="str">
        <f>IFERROR(VLOOKUP(A794,庫存!$A:$I,4,0),"0")</f>
        <v>0</v>
      </c>
      <c r="G794" s="43" t="str">
        <f t="shared" si="25"/>
        <v/>
      </c>
      <c r="H794" s="24" t="str">
        <f>IFERROR(VLOOKUP(A794,庫存!$A:$I,8,0),"")</f>
        <v/>
      </c>
      <c r="I794" s="24" t="str">
        <f>IFERROR(VLOOKUP(A794,庫存!$A:$I,9,0),"")</f>
        <v/>
      </c>
    </row>
    <row r="795" spans="1:9" ht="23" customHeight="1" x14ac:dyDescent="0.35">
      <c r="A795" s="57"/>
      <c r="B795" s="34" t="str">
        <f>IFERROR(VLOOKUP(A795,庫存!$A:$I,2,0),"")</f>
        <v/>
      </c>
      <c r="C795" s="34" t="str">
        <f>IFERROR(VLOOKUP(A795,庫存!$A:$I,3,0),"")</f>
        <v/>
      </c>
      <c r="D795" s="54"/>
      <c r="E795" s="35" t="str">
        <f t="shared" si="24"/>
        <v/>
      </c>
      <c r="F795" s="45" t="str">
        <f>IFERROR(VLOOKUP(A795,庫存!$A:$I,4,0),"0")</f>
        <v>0</v>
      </c>
      <c r="G795" s="43" t="str">
        <f t="shared" si="25"/>
        <v/>
      </c>
      <c r="H795" s="24" t="str">
        <f>IFERROR(VLOOKUP(A795,庫存!$A:$I,8,0),"")</f>
        <v/>
      </c>
      <c r="I795" s="24" t="str">
        <f>IFERROR(VLOOKUP(A795,庫存!$A:$I,9,0),"")</f>
        <v/>
      </c>
    </row>
    <row r="796" spans="1:9" ht="23" customHeight="1" x14ac:dyDescent="0.35">
      <c r="A796" s="57"/>
      <c r="B796" s="34" t="str">
        <f>IFERROR(VLOOKUP(A796,庫存!$A:$I,2,0),"")</f>
        <v/>
      </c>
      <c r="C796" s="34" t="str">
        <f>IFERROR(VLOOKUP(A796,庫存!$A:$I,3,0),"")</f>
        <v/>
      </c>
      <c r="D796" s="54"/>
      <c r="E796" s="35" t="str">
        <f t="shared" si="24"/>
        <v/>
      </c>
      <c r="F796" s="45" t="str">
        <f>IFERROR(VLOOKUP(A796,庫存!$A:$I,4,0),"0")</f>
        <v>0</v>
      </c>
      <c r="G796" s="43" t="str">
        <f t="shared" si="25"/>
        <v/>
      </c>
      <c r="H796" s="24" t="str">
        <f>IFERROR(VLOOKUP(A796,庫存!$A:$I,8,0),"")</f>
        <v/>
      </c>
      <c r="I796" s="24" t="str">
        <f>IFERROR(VLOOKUP(A796,庫存!$A:$I,9,0),"")</f>
        <v/>
      </c>
    </row>
    <row r="797" spans="1:9" ht="23" customHeight="1" x14ac:dyDescent="0.35">
      <c r="A797" s="57"/>
      <c r="B797" s="34" t="str">
        <f>IFERROR(VLOOKUP(A797,庫存!$A:$I,2,0),"")</f>
        <v/>
      </c>
      <c r="C797" s="34" t="str">
        <f>IFERROR(VLOOKUP(A797,庫存!$A:$I,3,0),"")</f>
        <v/>
      </c>
      <c r="D797" s="54"/>
      <c r="E797" s="35" t="str">
        <f t="shared" si="24"/>
        <v/>
      </c>
      <c r="F797" s="45" t="str">
        <f>IFERROR(VLOOKUP(A797,庫存!$A:$I,4,0),"0")</f>
        <v>0</v>
      </c>
      <c r="G797" s="43" t="str">
        <f t="shared" si="25"/>
        <v/>
      </c>
      <c r="H797" s="24" t="str">
        <f>IFERROR(VLOOKUP(A797,庫存!$A:$I,8,0),"")</f>
        <v/>
      </c>
      <c r="I797" s="24" t="str">
        <f>IFERROR(VLOOKUP(A797,庫存!$A:$I,9,0),"")</f>
        <v/>
      </c>
    </row>
    <row r="798" spans="1:9" ht="23" customHeight="1" x14ac:dyDescent="0.35">
      <c r="A798" s="57"/>
      <c r="B798" s="34" t="str">
        <f>IFERROR(VLOOKUP(A798,庫存!$A:$I,2,0),"")</f>
        <v/>
      </c>
      <c r="C798" s="34" t="str">
        <f>IFERROR(VLOOKUP(A798,庫存!$A:$I,3,0),"")</f>
        <v/>
      </c>
      <c r="D798" s="54"/>
      <c r="E798" s="35" t="str">
        <f t="shared" si="24"/>
        <v/>
      </c>
      <c r="F798" s="45" t="str">
        <f>IFERROR(VLOOKUP(A798,庫存!$A:$I,4,0),"0")</f>
        <v>0</v>
      </c>
      <c r="G798" s="43" t="str">
        <f t="shared" si="25"/>
        <v/>
      </c>
      <c r="H798" s="24" t="str">
        <f>IFERROR(VLOOKUP(A798,庫存!$A:$I,8,0),"")</f>
        <v/>
      </c>
      <c r="I798" s="24" t="str">
        <f>IFERROR(VLOOKUP(A798,庫存!$A:$I,9,0),"")</f>
        <v/>
      </c>
    </row>
    <row r="799" spans="1:9" ht="23" customHeight="1" x14ac:dyDescent="0.35">
      <c r="A799" s="57"/>
      <c r="B799" s="34" t="str">
        <f>IFERROR(VLOOKUP(A799,庫存!$A:$I,2,0),"")</f>
        <v/>
      </c>
      <c r="C799" s="34" t="str">
        <f>IFERROR(VLOOKUP(A799,庫存!$A:$I,3,0),"")</f>
        <v/>
      </c>
      <c r="D799" s="54"/>
      <c r="E799" s="35" t="str">
        <f t="shared" si="24"/>
        <v/>
      </c>
      <c r="F799" s="45" t="str">
        <f>IFERROR(VLOOKUP(A799,庫存!$A:$I,4,0),"0")</f>
        <v>0</v>
      </c>
      <c r="G799" s="43" t="str">
        <f t="shared" si="25"/>
        <v/>
      </c>
      <c r="H799" s="24" t="str">
        <f>IFERROR(VLOOKUP(A799,庫存!$A:$I,8,0),"")</f>
        <v/>
      </c>
      <c r="I799" s="24" t="str">
        <f>IFERROR(VLOOKUP(A799,庫存!$A:$I,9,0),"")</f>
        <v/>
      </c>
    </row>
    <row r="800" spans="1:9" ht="23" customHeight="1" x14ac:dyDescent="0.35">
      <c r="A800" s="57"/>
      <c r="B800" s="34" t="str">
        <f>IFERROR(VLOOKUP(A800,庫存!$A:$I,2,0),"")</f>
        <v/>
      </c>
      <c r="C800" s="34" t="str">
        <f>IFERROR(VLOOKUP(A800,庫存!$A:$I,3,0),"")</f>
        <v/>
      </c>
      <c r="D800" s="54"/>
      <c r="E800" s="35" t="str">
        <f t="shared" si="24"/>
        <v/>
      </c>
      <c r="F800" s="45" t="str">
        <f>IFERROR(VLOOKUP(A800,庫存!$A:$I,4,0),"0")</f>
        <v>0</v>
      </c>
      <c r="G800" s="43" t="str">
        <f t="shared" si="25"/>
        <v/>
      </c>
      <c r="H800" s="24" t="str">
        <f>IFERROR(VLOOKUP(A800,庫存!$A:$I,8,0),"")</f>
        <v/>
      </c>
      <c r="I800" s="24" t="str">
        <f>IFERROR(VLOOKUP(A800,庫存!$A:$I,9,0),"")</f>
        <v/>
      </c>
    </row>
    <row r="801" spans="1:9" ht="23" customHeight="1" x14ac:dyDescent="0.35">
      <c r="A801" s="57"/>
      <c r="B801" s="34" t="str">
        <f>IFERROR(VLOOKUP(A801,庫存!$A:$I,2,0),"")</f>
        <v/>
      </c>
      <c r="C801" s="34" t="str">
        <f>IFERROR(VLOOKUP(A801,庫存!$A:$I,3,0),"")</f>
        <v/>
      </c>
      <c r="D801" s="54"/>
      <c r="E801" s="35" t="str">
        <f t="shared" si="24"/>
        <v/>
      </c>
      <c r="F801" s="45" t="str">
        <f>IFERROR(VLOOKUP(A801,庫存!$A:$I,4,0),"0")</f>
        <v>0</v>
      </c>
      <c r="G801" s="43" t="str">
        <f t="shared" si="25"/>
        <v/>
      </c>
      <c r="H801" s="24" t="str">
        <f>IFERROR(VLOOKUP(A801,庫存!$A:$I,8,0),"")</f>
        <v/>
      </c>
      <c r="I801" s="24" t="str">
        <f>IFERROR(VLOOKUP(A801,庫存!$A:$I,9,0),"")</f>
        <v/>
      </c>
    </row>
    <row r="802" spans="1:9" ht="23" customHeight="1" x14ac:dyDescent="0.35">
      <c r="A802" s="57"/>
      <c r="B802" s="34" t="str">
        <f>IFERROR(VLOOKUP(A802,庫存!$A:$I,2,0),"")</f>
        <v/>
      </c>
      <c r="C802" s="34" t="str">
        <f>IFERROR(VLOOKUP(A802,庫存!$A:$I,3,0),"")</f>
        <v/>
      </c>
      <c r="D802" s="54"/>
      <c r="E802" s="35" t="str">
        <f t="shared" si="24"/>
        <v/>
      </c>
      <c r="F802" s="45" t="str">
        <f>IFERROR(VLOOKUP(A802,庫存!$A:$I,4,0),"0")</f>
        <v>0</v>
      </c>
      <c r="G802" s="43" t="str">
        <f t="shared" si="25"/>
        <v/>
      </c>
      <c r="H802" s="24" t="str">
        <f>IFERROR(VLOOKUP(A802,庫存!$A:$I,8,0),"")</f>
        <v/>
      </c>
      <c r="I802" s="24" t="str">
        <f>IFERROR(VLOOKUP(A802,庫存!$A:$I,9,0),"")</f>
        <v/>
      </c>
    </row>
    <row r="803" spans="1:9" ht="23" customHeight="1" x14ac:dyDescent="0.35">
      <c r="A803" s="57"/>
      <c r="B803" s="34" t="str">
        <f>IFERROR(VLOOKUP(A803,庫存!$A:$I,2,0),"")</f>
        <v/>
      </c>
      <c r="C803" s="34" t="str">
        <f>IFERROR(VLOOKUP(A803,庫存!$A:$I,3,0),"")</f>
        <v/>
      </c>
      <c r="D803" s="54"/>
      <c r="E803" s="35" t="str">
        <f t="shared" si="24"/>
        <v/>
      </c>
      <c r="F803" s="45" t="str">
        <f>IFERROR(VLOOKUP(A803,庫存!$A:$I,4,0),"0")</f>
        <v>0</v>
      </c>
      <c r="G803" s="43" t="str">
        <f t="shared" si="25"/>
        <v/>
      </c>
      <c r="H803" s="24" t="str">
        <f>IFERROR(VLOOKUP(A803,庫存!$A:$I,8,0),"")</f>
        <v/>
      </c>
      <c r="I803" s="24" t="str">
        <f>IFERROR(VLOOKUP(A803,庫存!$A:$I,9,0),"")</f>
        <v/>
      </c>
    </row>
    <row r="804" spans="1:9" ht="23" customHeight="1" x14ac:dyDescent="0.35">
      <c r="A804" s="57"/>
      <c r="B804" s="34" t="str">
        <f>IFERROR(VLOOKUP(A804,庫存!$A:$I,2,0),"")</f>
        <v/>
      </c>
      <c r="C804" s="34" t="str">
        <f>IFERROR(VLOOKUP(A804,庫存!$A:$I,3,0),"")</f>
        <v/>
      </c>
      <c r="D804" s="54"/>
      <c r="E804" s="35" t="str">
        <f t="shared" si="24"/>
        <v/>
      </c>
      <c r="F804" s="45" t="str">
        <f>IFERROR(VLOOKUP(A804,庫存!$A:$I,4,0),"0")</f>
        <v>0</v>
      </c>
      <c r="G804" s="43" t="str">
        <f t="shared" si="25"/>
        <v/>
      </c>
      <c r="H804" s="24" t="str">
        <f>IFERROR(VLOOKUP(A804,庫存!$A:$I,8,0),"")</f>
        <v/>
      </c>
      <c r="I804" s="24" t="str">
        <f>IFERROR(VLOOKUP(A804,庫存!$A:$I,9,0),"")</f>
        <v/>
      </c>
    </row>
    <row r="805" spans="1:9" ht="23" customHeight="1" x14ac:dyDescent="0.35">
      <c r="A805" s="57"/>
      <c r="B805" s="34" t="str">
        <f>IFERROR(VLOOKUP(A805,庫存!$A:$I,2,0),"")</f>
        <v/>
      </c>
      <c r="C805" s="34" t="str">
        <f>IFERROR(VLOOKUP(A805,庫存!$A:$I,3,0),"")</f>
        <v/>
      </c>
      <c r="D805" s="54"/>
      <c r="E805" s="35" t="str">
        <f t="shared" si="24"/>
        <v/>
      </c>
      <c r="F805" s="45" t="str">
        <f>IFERROR(VLOOKUP(A805,庫存!$A:$I,4,0),"0")</f>
        <v>0</v>
      </c>
      <c r="G805" s="43" t="str">
        <f t="shared" si="25"/>
        <v/>
      </c>
      <c r="H805" s="24" t="str">
        <f>IFERROR(VLOOKUP(A805,庫存!$A:$I,8,0),"")</f>
        <v/>
      </c>
      <c r="I805" s="24" t="str">
        <f>IFERROR(VLOOKUP(A805,庫存!$A:$I,9,0),"")</f>
        <v/>
      </c>
    </row>
    <row r="806" spans="1:9" ht="23" customHeight="1" x14ac:dyDescent="0.35">
      <c r="A806" s="57"/>
      <c r="B806" s="34" t="str">
        <f>IFERROR(VLOOKUP(A806,庫存!$A:$I,2,0),"")</f>
        <v/>
      </c>
      <c r="C806" s="34" t="str">
        <f>IFERROR(VLOOKUP(A806,庫存!$A:$I,3,0),"")</f>
        <v/>
      </c>
      <c r="D806" s="54"/>
      <c r="E806" s="35" t="str">
        <f t="shared" si="24"/>
        <v/>
      </c>
      <c r="F806" s="45" t="str">
        <f>IFERROR(VLOOKUP(A806,庫存!$A:$I,4,0),"0")</f>
        <v>0</v>
      </c>
      <c r="G806" s="43" t="str">
        <f t="shared" si="25"/>
        <v/>
      </c>
      <c r="H806" s="24" t="str">
        <f>IFERROR(VLOOKUP(A806,庫存!$A:$I,8,0),"")</f>
        <v/>
      </c>
      <c r="I806" s="24" t="str">
        <f>IFERROR(VLOOKUP(A806,庫存!$A:$I,9,0),"")</f>
        <v/>
      </c>
    </row>
    <row r="807" spans="1:9" ht="23" customHeight="1" x14ac:dyDescent="0.35">
      <c r="A807" s="57"/>
      <c r="B807" s="34" t="str">
        <f>IFERROR(VLOOKUP(A807,庫存!$A:$I,2,0),"")</f>
        <v/>
      </c>
      <c r="C807" s="34" t="str">
        <f>IFERROR(VLOOKUP(A807,庫存!$A:$I,3,0),"")</f>
        <v/>
      </c>
      <c r="D807" s="54"/>
      <c r="E807" s="35" t="str">
        <f t="shared" si="24"/>
        <v/>
      </c>
      <c r="F807" s="45" t="str">
        <f>IFERROR(VLOOKUP(A807,庫存!$A:$I,4,0),"0")</f>
        <v>0</v>
      </c>
      <c r="G807" s="43" t="str">
        <f t="shared" si="25"/>
        <v/>
      </c>
      <c r="H807" s="24" t="str">
        <f>IFERROR(VLOOKUP(A807,庫存!$A:$I,8,0),"")</f>
        <v/>
      </c>
      <c r="I807" s="24" t="str">
        <f>IFERROR(VLOOKUP(A807,庫存!$A:$I,9,0),"")</f>
        <v/>
      </c>
    </row>
    <row r="808" spans="1:9" ht="23" customHeight="1" x14ac:dyDescent="0.35">
      <c r="A808" s="57"/>
      <c r="B808" s="34" t="str">
        <f>IFERROR(VLOOKUP(A808,庫存!$A:$I,2,0),"")</f>
        <v/>
      </c>
      <c r="C808" s="34" t="str">
        <f>IFERROR(VLOOKUP(A808,庫存!$A:$I,3,0),"")</f>
        <v/>
      </c>
      <c r="D808" s="54"/>
      <c r="E808" s="35" t="str">
        <f t="shared" si="24"/>
        <v/>
      </c>
      <c r="F808" s="45" t="str">
        <f>IFERROR(VLOOKUP(A808,庫存!$A:$I,4,0),"0")</f>
        <v>0</v>
      </c>
      <c r="G808" s="43" t="str">
        <f t="shared" si="25"/>
        <v/>
      </c>
      <c r="H808" s="24" t="str">
        <f>IFERROR(VLOOKUP(A808,庫存!$A:$I,8,0),"")</f>
        <v/>
      </c>
      <c r="I808" s="24" t="str">
        <f>IFERROR(VLOOKUP(A808,庫存!$A:$I,9,0),"")</f>
        <v/>
      </c>
    </row>
    <row r="809" spans="1:9" ht="23" customHeight="1" x14ac:dyDescent="0.35">
      <c r="A809" s="57"/>
      <c r="B809" s="34" t="str">
        <f>IFERROR(VLOOKUP(A809,庫存!$A:$I,2,0),"")</f>
        <v/>
      </c>
      <c r="C809" s="34" t="str">
        <f>IFERROR(VLOOKUP(A809,庫存!$A:$I,3,0),"")</f>
        <v/>
      </c>
      <c r="D809" s="54"/>
      <c r="E809" s="35" t="str">
        <f t="shared" si="24"/>
        <v/>
      </c>
      <c r="F809" s="45" t="str">
        <f>IFERROR(VLOOKUP(A809,庫存!$A:$I,4,0),"0")</f>
        <v>0</v>
      </c>
      <c r="G809" s="43" t="str">
        <f t="shared" si="25"/>
        <v/>
      </c>
      <c r="H809" s="24" t="str">
        <f>IFERROR(VLOOKUP(A809,庫存!$A:$I,8,0),"")</f>
        <v/>
      </c>
      <c r="I809" s="24" t="str">
        <f>IFERROR(VLOOKUP(A809,庫存!$A:$I,9,0),"")</f>
        <v/>
      </c>
    </row>
    <row r="810" spans="1:9" ht="23" customHeight="1" x14ac:dyDescent="0.35">
      <c r="A810" s="57"/>
      <c r="B810" s="34" t="str">
        <f>IFERROR(VLOOKUP(A810,庫存!$A:$I,2,0),"")</f>
        <v/>
      </c>
      <c r="C810" s="34" t="str">
        <f>IFERROR(VLOOKUP(A810,庫存!$A:$I,3,0),"")</f>
        <v/>
      </c>
      <c r="D810" s="54"/>
      <c r="E810" s="35" t="str">
        <f t="shared" si="24"/>
        <v/>
      </c>
      <c r="F810" s="45" t="str">
        <f>IFERROR(VLOOKUP(A810,庫存!$A:$I,4,0),"0")</f>
        <v>0</v>
      </c>
      <c r="G810" s="43" t="str">
        <f t="shared" si="25"/>
        <v/>
      </c>
      <c r="H810" s="24" t="str">
        <f>IFERROR(VLOOKUP(A810,庫存!$A:$I,8,0),"")</f>
        <v/>
      </c>
      <c r="I810" s="24" t="str">
        <f>IFERROR(VLOOKUP(A810,庫存!$A:$I,9,0),"")</f>
        <v/>
      </c>
    </row>
    <row r="811" spans="1:9" ht="23" customHeight="1" x14ac:dyDescent="0.35">
      <c r="A811" s="57"/>
      <c r="B811" s="34" t="str">
        <f>IFERROR(VLOOKUP(A811,庫存!$A:$I,2,0),"")</f>
        <v/>
      </c>
      <c r="C811" s="34" t="str">
        <f>IFERROR(VLOOKUP(A811,庫存!$A:$I,3,0),"")</f>
        <v/>
      </c>
      <c r="D811" s="54"/>
      <c r="E811" s="35" t="str">
        <f t="shared" si="24"/>
        <v/>
      </c>
      <c r="F811" s="45" t="str">
        <f>IFERROR(VLOOKUP(A811,庫存!$A:$I,4,0),"0")</f>
        <v>0</v>
      </c>
      <c r="G811" s="43" t="str">
        <f t="shared" si="25"/>
        <v/>
      </c>
      <c r="H811" s="24" t="str">
        <f>IFERROR(VLOOKUP(A811,庫存!$A:$I,8,0),"")</f>
        <v/>
      </c>
      <c r="I811" s="24" t="str">
        <f>IFERROR(VLOOKUP(A811,庫存!$A:$I,9,0),"")</f>
        <v/>
      </c>
    </row>
    <row r="812" spans="1:9" ht="23" customHeight="1" x14ac:dyDescent="0.35">
      <c r="A812" s="57"/>
      <c r="B812" s="34" t="str">
        <f>IFERROR(VLOOKUP(A812,庫存!$A:$I,2,0),"")</f>
        <v/>
      </c>
      <c r="C812" s="34" t="str">
        <f>IFERROR(VLOOKUP(A812,庫存!$A:$I,3,0),"")</f>
        <v/>
      </c>
      <c r="D812" s="54"/>
      <c r="E812" s="35" t="str">
        <f t="shared" si="24"/>
        <v/>
      </c>
      <c r="F812" s="45" t="str">
        <f>IFERROR(VLOOKUP(A812,庫存!$A:$I,4,0),"0")</f>
        <v>0</v>
      </c>
      <c r="G812" s="43" t="str">
        <f t="shared" si="25"/>
        <v/>
      </c>
      <c r="H812" s="24" t="str">
        <f>IFERROR(VLOOKUP(A812,庫存!$A:$I,8,0),"")</f>
        <v/>
      </c>
      <c r="I812" s="24" t="str">
        <f>IFERROR(VLOOKUP(A812,庫存!$A:$I,9,0),"")</f>
        <v/>
      </c>
    </row>
    <row r="813" spans="1:9" ht="23" customHeight="1" x14ac:dyDescent="0.35">
      <c r="A813" s="57"/>
      <c r="B813" s="34" t="str">
        <f>IFERROR(VLOOKUP(A813,庫存!$A:$I,2,0),"")</f>
        <v/>
      </c>
      <c r="C813" s="34" t="str">
        <f>IFERROR(VLOOKUP(A813,庫存!$A:$I,3,0),"")</f>
        <v/>
      </c>
      <c r="D813" s="54"/>
      <c r="E813" s="35" t="str">
        <f t="shared" si="24"/>
        <v/>
      </c>
      <c r="F813" s="45" t="str">
        <f>IFERROR(VLOOKUP(A813,庫存!$A:$I,4,0),"0")</f>
        <v>0</v>
      </c>
      <c r="G813" s="43" t="str">
        <f t="shared" si="25"/>
        <v/>
      </c>
      <c r="H813" s="24" t="str">
        <f>IFERROR(VLOOKUP(A813,庫存!$A:$I,8,0),"")</f>
        <v/>
      </c>
      <c r="I813" s="24" t="str">
        <f>IFERROR(VLOOKUP(A813,庫存!$A:$I,9,0),"")</f>
        <v/>
      </c>
    </row>
    <row r="814" spans="1:9" ht="23" customHeight="1" x14ac:dyDescent="0.35">
      <c r="A814" s="57"/>
      <c r="B814" s="34" t="str">
        <f>IFERROR(VLOOKUP(A814,庫存!$A:$I,2,0),"")</f>
        <v/>
      </c>
      <c r="C814" s="34" t="str">
        <f>IFERROR(VLOOKUP(A814,庫存!$A:$I,3,0),"")</f>
        <v/>
      </c>
      <c r="D814" s="54"/>
      <c r="E814" s="35" t="str">
        <f t="shared" si="24"/>
        <v/>
      </c>
      <c r="F814" s="45" t="str">
        <f>IFERROR(VLOOKUP(A814,庫存!$A:$I,4,0),"0")</f>
        <v>0</v>
      </c>
      <c r="G814" s="43" t="str">
        <f t="shared" si="25"/>
        <v/>
      </c>
      <c r="H814" s="24" t="str">
        <f>IFERROR(VLOOKUP(A814,庫存!$A:$I,8,0),"")</f>
        <v/>
      </c>
      <c r="I814" s="24" t="str">
        <f>IFERROR(VLOOKUP(A814,庫存!$A:$I,9,0),"")</f>
        <v/>
      </c>
    </row>
    <row r="815" spans="1:9" ht="23" customHeight="1" x14ac:dyDescent="0.35">
      <c r="A815" s="57"/>
      <c r="B815" s="34" t="str">
        <f>IFERROR(VLOOKUP(A815,庫存!$A:$I,2,0),"")</f>
        <v/>
      </c>
      <c r="C815" s="34" t="str">
        <f>IFERROR(VLOOKUP(A815,庫存!$A:$I,3,0),"")</f>
        <v/>
      </c>
      <c r="D815" s="54"/>
      <c r="E815" s="35" t="str">
        <f t="shared" si="24"/>
        <v/>
      </c>
      <c r="F815" s="45" t="str">
        <f>IFERROR(VLOOKUP(A815,庫存!$A:$I,4,0),"0")</f>
        <v>0</v>
      </c>
      <c r="G815" s="43" t="str">
        <f t="shared" si="25"/>
        <v/>
      </c>
      <c r="H815" s="24" t="str">
        <f>IFERROR(VLOOKUP(A815,庫存!$A:$I,8,0),"")</f>
        <v/>
      </c>
      <c r="I815" s="24" t="str">
        <f>IFERROR(VLOOKUP(A815,庫存!$A:$I,9,0),"")</f>
        <v/>
      </c>
    </row>
    <row r="816" spans="1:9" ht="23" customHeight="1" x14ac:dyDescent="0.35">
      <c r="A816" s="57"/>
      <c r="B816" s="34" t="str">
        <f>IFERROR(VLOOKUP(A816,庫存!$A:$I,2,0),"")</f>
        <v/>
      </c>
      <c r="C816" s="34" t="str">
        <f>IFERROR(VLOOKUP(A816,庫存!$A:$I,3,0),"")</f>
        <v/>
      </c>
      <c r="D816" s="54"/>
      <c r="E816" s="35" t="str">
        <f t="shared" si="24"/>
        <v/>
      </c>
      <c r="F816" s="45" t="str">
        <f>IFERROR(VLOOKUP(A816,庫存!$A:$I,4,0),"0")</f>
        <v>0</v>
      </c>
      <c r="G816" s="43" t="str">
        <f t="shared" si="25"/>
        <v/>
      </c>
      <c r="H816" s="24" t="str">
        <f>IFERROR(VLOOKUP(A816,庫存!$A:$I,8,0),"")</f>
        <v/>
      </c>
      <c r="I816" s="24" t="str">
        <f>IFERROR(VLOOKUP(A816,庫存!$A:$I,9,0),"")</f>
        <v/>
      </c>
    </row>
    <row r="817" spans="1:9" ht="23" customHeight="1" x14ac:dyDescent="0.35">
      <c r="A817" s="57"/>
      <c r="B817" s="34" t="str">
        <f>IFERROR(VLOOKUP(A817,庫存!$A:$I,2,0),"")</f>
        <v/>
      </c>
      <c r="C817" s="34" t="str">
        <f>IFERROR(VLOOKUP(A817,庫存!$A:$I,3,0),"")</f>
        <v/>
      </c>
      <c r="D817" s="54"/>
      <c r="E817" s="35" t="str">
        <f t="shared" si="24"/>
        <v/>
      </c>
      <c r="F817" s="45" t="str">
        <f>IFERROR(VLOOKUP(A817,庫存!$A:$I,4,0),"0")</f>
        <v>0</v>
      </c>
      <c r="G817" s="43" t="str">
        <f t="shared" si="25"/>
        <v/>
      </c>
      <c r="H817" s="24" t="str">
        <f>IFERROR(VLOOKUP(A817,庫存!$A:$I,8,0),"")</f>
        <v/>
      </c>
      <c r="I817" s="24" t="str">
        <f>IFERROR(VLOOKUP(A817,庫存!$A:$I,9,0),"")</f>
        <v/>
      </c>
    </row>
    <row r="818" spans="1:9" ht="23" customHeight="1" x14ac:dyDescent="0.35">
      <c r="A818" s="57"/>
      <c r="B818" s="34" t="str">
        <f>IFERROR(VLOOKUP(A818,庫存!$A:$I,2,0),"")</f>
        <v/>
      </c>
      <c r="C818" s="34" t="str">
        <f>IFERROR(VLOOKUP(A818,庫存!$A:$I,3,0),"")</f>
        <v/>
      </c>
      <c r="D818" s="54"/>
      <c r="E818" s="35" t="str">
        <f t="shared" si="24"/>
        <v/>
      </c>
      <c r="F818" s="45" t="str">
        <f>IFERROR(VLOOKUP(A818,庫存!$A:$I,4,0),"0")</f>
        <v>0</v>
      </c>
      <c r="G818" s="43" t="str">
        <f t="shared" si="25"/>
        <v/>
      </c>
      <c r="H818" s="24" t="str">
        <f>IFERROR(VLOOKUP(A818,庫存!$A:$I,8,0),"")</f>
        <v/>
      </c>
      <c r="I818" s="24" t="str">
        <f>IFERROR(VLOOKUP(A818,庫存!$A:$I,9,0),"")</f>
        <v/>
      </c>
    </row>
    <row r="819" spans="1:9" ht="23" customHeight="1" x14ac:dyDescent="0.35">
      <c r="A819" s="57"/>
      <c r="B819" s="34" t="str">
        <f>IFERROR(VLOOKUP(A819,庫存!$A:$I,2,0),"")</f>
        <v/>
      </c>
      <c r="C819" s="34" t="str">
        <f>IFERROR(VLOOKUP(A819,庫存!$A:$I,3,0),"")</f>
        <v/>
      </c>
      <c r="D819" s="54"/>
      <c r="E819" s="35" t="str">
        <f t="shared" si="24"/>
        <v/>
      </c>
      <c r="F819" s="45" t="str">
        <f>IFERROR(VLOOKUP(A819,庫存!$A:$I,4,0),"0")</f>
        <v>0</v>
      </c>
      <c r="G819" s="43" t="str">
        <f t="shared" si="25"/>
        <v/>
      </c>
      <c r="H819" s="24" t="str">
        <f>IFERROR(VLOOKUP(A819,庫存!$A:$I,8,0),"")</f>
        <v/>
      </c>
      <c r="I819" s="24" t="str">
        <f>IFERROR(VLOOKUP(A819,庫存!$A:$I,9,0),"")</f>
        <v/>
      </c>
    </row>
    <row r="820" spans="1:9" ht="23" customHeight="1" x14ac:dyDescent="0.35">
      <c r="A820" s="57"/>
      <c r="B820" s="34" t="str">
        <f>IFERROR(VLOOKUP(A820,庫存!$A:$I,2,0),"")</f>
        <v/>
      </c>
      <c r="C820" s="34" t="str">
        <f>IFERROR(VLOOKUP(A820,庫存!$A:$I,3,0),"")</f>
        <v/>
      </c>
      <c r="D820" s="54"/>
      <c r="E820" s="35" t="str">
        <f t="shared" si="24"/>
        <v/>
      </c>
      <c r="F820" s="45" t="str">
        <f>IFERROR(VLOOKUP(A820,庫存!$A:$I,4,0),"0")</f>
        <v>0</v>
      </c>
      <c r="G820" s="43" t="str">
        <f t="shared" si="25"/>
        <v/>
      </c>
      <c r="H820" s="24" t="str">
        <f>IFERROR(VLOOKUP(A820,庫存!$A:$I,8,0),"")</f>
        <v/>
      </c>
      <c r="I820" s="24" t="str">
        <f>IFERROR(VLOOKUP(A820,庫存!$A:$I,9,0),"")</f>
        <v/>
      </c>
    </row>
    <row r="821" spans="1:9" ht="23" customHeight="1" x14ac:dyDescent="0.35">
      <c r="A821" s="57"/>
      <c r="B821" s="34" t="str">
        <f>IFERROR(VLOOKUP(A821,庫存!$A:$I,2,0),"")</f>
        <v/>
      </c>
      <c r="C821" s="34" t="str">
        <f>IFERROR(VLOOKUP(A821,庫存!$A:$I,3,0),"")</f>
        <v/>
      </c>
      <c r="D821" s="54"/>
      <c r="E821" s="35" t="str">
        <f t="shared" si="24"/>
        <v/>
      </c>
      <c r="F821" s="45" t="str">
        <f>IFERROR(VLOOKUP(A821,庫存!$A:$I,4,0),"0")</f>
        <v>0</v>
      </c>
      <c r="G821" s="43" t="str">
        <f t="shared" si="25"/>
        <v/>
      </c>
      <c r="H821" s="24" t="str">
        <f>IFERROR(VLOOKUP(A821,庫存!$A:$I,8,0),"")</f>
        <v/>
      </c>
      <c r="I821" s="24" t="str">
        <f>IFERROR(VLOOKUP(A821,庫存!$A:$I,9,0),"")</f>
        <v/>
      </c>
    </row>
    <row r="822" spans="1:9" ht="23" customHeight="1" x14ac:dyDescent="0.35">
      <c r="A822" s="57"/>
      <c r="B822" s="34" t="str">
        <f>IFERROR(VLOOKUP(A822,庫存!$A:$I,2,0),"")</f>
        <v/>
      </c>
      <c r="C822" s="34" t="str">
        <f>IFERROR(VLOOKUP(A822,庫存!$A:$I,3,0),"")</f>
        <v/>
      </c>
      <c r="D822" s="54"/>
      <c r="E822" s="35" t="str">
        <f t="shared" si="24"/>
        <v/>
      </c>
      <c r="F822" s="45" t="str">
        <f>IFERROR(VLOOKUP(A822,庫存!$A:$I,4,0),"0")</f>
        <v>0</v>
      </c>
      <c r="G822" s="43" t="str">
        <f t="shared" si="25"/>
        <v/>
      </c>
      <c r="H822" s="24" t="str">
        <f>IFERROR(VLOOKUP(A822,庫存!$A:$I,8,0),"")</f>
        <v/>
      </c>
      <c r="I822" s="24" t="str">
        <f>IFERROR(VLOOKUP(A822,庫存!$A:$I,9,0),"")</f>
        <v/>
      </c>
    </row>
    <row r="823" spans="1:9" ht="23" customHeight="1" x14ac:dyDescent="0.35">
      <c r="A823" s="57"/>
      <c r="B823" s="34" t="str">
        <f>IFERROR(VLOOKUP(A823,庫存!$A:$I,2,0),"")</f>
        <v/>
      </c>
      <c r="C823" s="34" t="str">
        <f>IFERROR(VLOOKUP(A823,庫存!$A:$I,3,0),"")</f>
        <v/>
      </c>
      <c r="D823" s="54"/>
      <c r="E823" s="35" t="str">
        <f t="shared" si="24"/>
        <v/>
      </c>
      <c r="F823" s="45" t="str">
        <f>IFERROR(VLOOKUP(A823,庫存!$A:$I,4,0),"0")</f>
        <v>0</v>
      </c>
      <c r="G823" s="43" t="str">
        <f t="shared" si="25"/>
        <v/>
      </c>
      <c r="H823" s="24" t="str">
        <f>IFERROR(VLOOKUP(A823,庫存!$A:$I,8,0),"")</f>
        <v/>
      </c>
      <c r="I823" s="24" t="str">
        <f>IFERROR(VLOOKUP(A823,庫存!$A:$I,9,0),"")</f>
        <v/>
      </c>
    </row>
    <row r="824" spans="1:9" ht="23" customHeight="1" x14ac:dyDescent="0.35">
      <c r="A824" s="57"/>
      <c r="B824" s="34" t="str">
        <f>IFERROR(VLOOKUP(A824,庫存!$A:$I,2,0),"")</f>
        <v/>
      </c>
      <c r="C824" s="34" t="str">
        <f>IFERROR(VLOOKUP(A824,庫存!$A:$I,3,0),"")</f>
        <v/>
      </c>
      <c r="D824" s="54"/>
      <c r="E824" s="35" t="str">
        <f t="shared" si="24"/>
        <v/>
      </c>
      <c r="F824" s="45" t="str">
        <f>IFERROR(VLOOKUP(A824,庫存!$A:$I,4,0),"0")</f>
        <v>0</v>
      </c>
      <c r="G824" s="43" t="str">
        <f t="shared" si="25"/>
        <v/>
      </c>
      <c r="H824" s="24" t="str">
        <f>IFERROR(VLOOKUP(A824,庫存!$A:$I,8,0),"")</f>
        <v/>
      </c>
      <c r="I824" s="24" t="str">
        <f>IFERROR(VLOOKUP(A824,庫存!$A:$I,9,0),"")</f>
        <v/>
      </c>
    </row>
    <row r="825" spans="1:9" ht="23" customHeight="1" x14ac:dyDescent="0.35">
      <c r="A825" s="57"/>
      <c r="B825" s="34" t="str">
        <f>IFERROR(VLOOKUP(A825,庫存!$A:$I,2,0),"")</f>
        <v/>
      </c>
      <c r="C825" s="34" t="str">
        <f>IFERROR(VLOOKUP(A825,庫存!$A:$I,3,0),"")</f>
        <v/>
      </c>
      <c r="D825" s="54"/>
      <c r="E825" s="35" t="str">
        <f t="shared" si="24"/>
        <v/>
      </c>
      <c r="F825" s="45" t="str">
        <f>IFERROR(VLOOKUP(A825,庫存!$A:$I,4,0),"0")</f>
        <v>0</v>
      </c>
      <c r="G825" s="43" t="str">
        <f t="shared" si="25"/>
        <v/>
      </c>
      <c r="H825" s="24" t="str">
        <f>IFERROR(VLOOKUP(A825,庫存!$A:$I,8,0),"")</f>
        <v/>
      </c>
      <c r="I825" s="24" t="str">
        <f>IFERROR(VLOOKUP(A825,庫存!$A:$I,9,0),"")</f>
        <v/>
      </c>
    </row>
    <row r="826" spans="1:9" ht="23" customHeight="1" x14ac:dyDescent="0.35">
      <c r="A826" s="57"/>
      <c r="B826" s="34" t="str">
        <f>IFERROR(VLOOKUP(A826,庫存!$A:$I,2,0),"")</f>
        <v/>
      </c>
      <c r="C826" s="34" t="str">
        <f>IFERROR(VLOOKUP(A826,庫存!$A:$I,3,0),"")</f>
        <v/>
      </c>
      <c r="D826" s="54"/>
      <c r="E826" s="35" t="str">
        <f t="shared" si="24"/>
        <v/>
      </c>
      <c r="F826" s="45" t="str">
        <f>IFERROR(VLOOKUP(A826,庫存!$A:$I,4,0),"0")</f>
        <v>0</v>
      </c>
      <c r="G826" s="43" t="str">
        <f t="shared" si="25"/>
        <v/>
      </c>
      <c r="H826" s="24" t="str">
        <f>IFERROR(VLOOKUP(A826,庫存!$A:$I,8,0),"")</f>
        <v/>
      </c>
      <c r="I826" s="24" t="str">
        <f>IFERROR(VLOOKUP(A826,庫存!$A:$I,9,0),"")</f>
        <v/>
      </c>
    </row>
    <row r="827" spans="1:9" ht="23" customHeight="1" x14ac:dyDescent="0.35">
      <c r="A827" s="57"/>
      <c r="B827" s="34" t="str">
        <f>IFERROR(VLOOKUP(A827,庫存!$A:$I,2,0),"")</f>
        <v/>
      </c>
      <c r="C827" s="34" t="str">
        <f>IFERROR(VLOOKUP(A827,庫存!$A:$I,3,0),"")</f>
        <v/>
      </c>
      <c r="D827" s="54"/>
      <c r="E827" s="35" t="str">
        <f t="shared" si="24"/>
        <v/>
      </c>
      <c r="F827" s="45" t="str">
        <f>IFERROR(VLOOKUP(A827,庫存!$A:$I,4,0),"0")</f>
        <v>0</v>
      </c>
      <c r="G827" s="43" t="str">
        <f t="shared" si="25"/>
        <v/>
      </c>
      <c r="H827" s="24" t="str">
        <f>IFERROR(VLOOKUP(A827,庫存!$A:$I,8,0),"")</f>
        <v/>
      </c>
      <c r="I827" s="24" t="str">
        <f>IFERROR(VLOOKUP(A827,庫存!$A:$I,9,0),"")</f>
        <v/>
      </c>
    </row>
    <row r="828" spans="1:9" ht="23" customHeight="1" x14ac:dyDescent="0.35">
      <c r="A828" s="57"/>
      <c r="B828" s="34" t="str">
        <f>IFERROR(VLOOKUP(A828,庫存!$A:$I,2,0),"")</f>
        <v/>
      </c>
      <c r="C828" s="34" t="str">
        <f>IFERROR(VLOOKUP(A828,庫存!$A:$I,3,0),"")</f>
        <v/>
      </c>
      <c r="D828" s="54"/>
      <c r="E828" s="35" t="str">
        <f t="shared" si="24"/>
        <v/>
      </c>
      <c r="F828" s="45" t="str">
        <f>IFERROR(VLOOKUP(A828,庫存!$A:$I,4,0),"0")</f>
        <v>0</v>
      </c>
      <c r="G828" s="43" t="str">
        <f t="shared" si="25"/>
        <v/>
      </c>
      <c r="H828" s="24" t="str">
        <f>IFERROR(VLOOKUP(A828,庫存!$A:$I,8,0),"")</f>
        <v/>
      </c>
      <c r="I828" s="24" t="str">
        <f>IFERROR(VLOOKUP(A828,庫存!$A:$I,9,0),"")</f>
        <v/>
      </c>
    </row>
    <row r="829" spans="1:9" ht="23" customHeight="1" x14ac:dyDescent="0.35">
      <c r="A829" s="57"/>
      <c r="B829" s="34" t="str">
        <f>IFERROR(VLOOKUP(A829,庫存!$A:$I,2,0),"")</f>
        <v/>
      </c>
      <c r="C829" s="34" t="str">
        <f>IFERROR(VLOOKUP(A829,庫存!$A:$I,3,0),"")</f>
        <v/>
      </c>
      <c r="D829" s="54"/>
      <c r="E829" s="35" t="str">
        <f t="shared" si="24"/>
        <v/>
      </c>
      <c r="F829" s="45" t="str">
        <f>IFERROR(VLOOKUP(A829,庫存!$A:$I,4,0),"0")</f>
        <v>0</v>
      </c>
      <c r="G829" s="43" t="str">
        <f t="shared" si="25"/>
        <v/>
      </c>
      <c r="H829" s="24" t="str">
        <f>IFERROR(VLOOKUP(A829,庫存!$A:$I,8,0),"")</f>
        <v/>
      </c>
      <c r="I829" s="24" t="str">
        <f>IFERROR(VLOOKUP(A829,庫存!$A:$I,9,0),"")</f>
        <v/>
      </c>
    </row>
    <row r="830" spans="1:9" ht="23" customHeight="1" x14ac:dyDescent="0.35">
      <c r="A830" s="57"/>
      <c r="B830" s="34" t="str">
        <f>IFERROR(VLOOKUP(A830,庫存!$A:$I,2,0),"")</f>
        <v/>
      </c>
      <c r="C830" s="34" t="str">
        <f>IFERROR(VLOOKUP(A830,庫存!$A:$I,3,0),"")</f>
        <v/>
      </c>
      <c r="D830" s="54"/>
      <c r="E830" s="35" t="str">
        <f t="shared" si="24"/>
        <v/>
      </c>
      <c r="F830" s="45" t="str">
        <f>IFERROR(VLOOKUP(A830,庫存!$A:$I,4,0),"0")</f>
        <v>0</v>
      </c>
      <c r="G830" s="43" t="str">
        <f t="shared" si="25"/>
        <v/>
      </c>
      <c r="H830" s="24" t="str">
        <f>IFERROR(VLOOKUP(A830,庫存!$A:$I,8,0),"")</f>
        <v/>
      </c>
      <c r="I830" s="24" t="str">
        <f>IFERROR(VLOOKUP(A830,庫存!$A:$I,9,0),"")</f>
        <v/>
      </c>
    </row>
    <row r="831" spans="1:9" ht="23" customHeight="1" x14ac:dyDescent="0.35">
      <c r="A831" s="57"/>
      <c r="B831" s="34" t="str">
        <f>IFERROR(VLOOKUP(A831,庫存!$A:$I,2,0),"")</f>
        <v/>
      </c>
      <c r="C831" s="34" t="str">
        <f>IFERROR(VLOOKUP(A831,庫存!$A:$I,3,0),"")</f>
        <v/>
      </c>
      <c r="D831" s="54"/>
      <c r="E831" s="35" t="str">
        <f t="shared" si="24"/>
        <v/>
      </c>
      <c r="F831" s="45" t="str">
        <f>IFERROR(VLOOKUP(A831,庫存!$A:$I,4,0),"0")</f>
        <v>0</v>
      </c>
      <c r="G831" s="43" t="str">
        <f t="shared" si="25"/>
        <v/>
      </c>
      <c r="H831" s="24" t="str">
        <f>IFERROR(VLOOKUP(A831,庫存!$A:$I,8,0),"")</f>
        <v/>
      </c>
      <c r="I831" s="24" t="str">
        <f>IFERROR(VLOOKUP(A831,庫存!$A:$I,9,0),"")</f>
        <v/>
      </c>
    </row>
    <row r="832" spans="1:9" ht="23" customHeight="1" x14ac:dyDescent="0.35">
      <c r="A832" s="57"/>
      <c r="B832" s="34" t="str">
        <f>IFERROR(VLOOKUP(A832,庫存!$A:$I,2,0),"")</f>
        <v/>
      </c>
      <c r="C832" s="34" t="str">
        <f>IFERROR(VLOOKUP(A832,庫存!$A:$I,3,0),"")</f>
        <v/>
      </c>
      <c r="D832" s="54"/>
      <c r="E832" s="35" t="str">
        <f t="shared" si="24"/>
        <v/>
      </c>
      <c r="F832" s="45" t="str">
        <f>IFERROR(VLOOKUP(A832,庫存!$A:$I,4,0),"0")</f>
        <v>0</v>
      </c>
      <c r="G832" s="43" t="str">
        <f t="shared" si="25"/>
        <v/>
      </c>
      <c r="H832" s="24" t="str">
        <f>IFERROR(VLOOKUP(A832,庫存!$A:$I,8,0),"")</f>
        <v/>
      </c>
      <c r="I832" s="24" t="str">
        <f>IFERROR(VLOOKUP(A832,庫存!$A:$I,9,0),"")</f>
        <v/>
      </c>
    </row>
    <row r="833" spans="1:9" ht="23" customHeight="1" x14ac:dyDescent="0.35">
      <c r="A833" s="57"/>
      <c r="B833" s="34" t="str">
        <f>IFERROR(VLOOKUP(A833,庫存!$A:$I,2,0),"")</f>
        <v/>
      </c>
      <c r="C833" s="34" t="str">
        <f>IFERROR(VLOOKUP(A833,庫存!$A:$I,3,0),"")</f>
        <v/>
      </c>
      <c r="D833" s="54"/>
      <c r="E833" s="35" t="str">
        <f t="shared" si="24"/>
        <v/>
      </c>
      <c r="F833" s="45" t="str">
        <f>IFERROR(VLOOKUP(A833,庫存!$A:$I,4,0),"0")</f>
        <v>0</v>
      </c>
      <c r="G833" s="43" t="str">
        <f t="shared" si="25"/>
        <v/>
      </c>
      <c r="H833" s="24" t="str">
        <f>IFERROR(VLOOKUP(A833,庫存!$A:$I,8,0),"")</f>
        <v/>
      </c>
      <c r="I833" s="24" t="str">
        <f>IFERROR(VLOOKUP(A833,庫存!$A:$I,9,0),"")</f>
        <v/>
      </c>
    </row>
    <row r="834" spans="1:9" ht="23" customHeight="1" x14ac:dyDescent="0.35">
      <c r="A834" s="57"/>
      <c r="B834" s="34" t="str">
        <f>IFERROR(VLOOKUP(A834,庫存!$A:$I,2,0),"")</f>
        <v/>
      </c>
      <c r="C834" s="34" t="str">
        <f>IFERROR(VLOOKUP(A834,庫存!$A:$I,3,0),"")</f>
        <v/>
      </c>
      <c r="D834" s="54"/>
      <c r="E834" s="35" t="str">
        <f t="shared" ref="E834:E897" si="26">IF(D834*$E$1=0,"",D834*$E$1)</f>
        <v/>
      </c>
      <c r="F834" s="45" t="str">
        <f>IFERROR(VLOOKUP(A834,庫存!$A:$I,4,0),"0")</f>
        <v>0</v>
      </c>
      <c r="G834" s="43" t="str">
        <f t="shared" ref="G834:G897" si="27">IFERROR(F834-E834,"")</f>
        <v/>
      </c>
      <c r="H834" s="24" t="str">
        <f>IFERROR(VLOOKUP(A834,庫存!$A:$I,8,0),"")</f>
        <v/>
      </c>
      <c r="I834" s="24" t="str">
        <f>IFERROR(VLOOKUP(A834,庫存!$A:$I,9,0),"")</f>
        <v/>
      </c>
    </row>
    <row r="835" spans="1:9" ht="23" customHeight="1" x14ac:dyDescent="0.35">
      <c r="A835" s="57"/>
      <c r="B835" s="34" t="str">
        <f>IFERROR(VLOOKUP(A835,庫存!$A:$I,2,0),"")</f>
        <v/>
      </c>
      <c r="C835" s="34" t="str">
        <f>IFERROR(VLOOKUP(A835,庫存!$A:$I,3,0),"")</f>
        <v/>
      </c>
      <c r="D835" s="54"/>
      <c r="E835" s="35" t="str">
        <f t="shared" si="26"/>
        <v/>
      </c>
      <c r="F835" s="45" t="str">
        <f>IFERROR(VLOOKUP(A835,庫存!$A:$I,4,0),"0")</f>
        <v>0</v>
      </c>
      <c r="G835" s="43" t="str">
        <f t="shared" si="27"/>
        <v/>
      </c>
      <c r="H835" s="24" t="str">
        <f>IFERROR(VLOOKUP(A835,庫存!$A:$I,8,0),"")</f>
        <v/>
      </c>
      <c r="I835" s="24" t="str">
        <f>IFERROR(VLOOKUP(A835,庫存!$A:$I,9,0),"")</f>
        <v/>
      </c>
    </row>
    <row r="836" spans="1:9" ht="23" customHeight="1" x14ac:dyDescent="0.35">
      <c r="A836" s="57"/>
      <c r="B836" s="34" t="str">
        <f>IFERROR(VLOOKUP(A836,庫存!$A:$I,2,0),"")</f>
        <v/>
      </c>
      <c r="C836" s="34" t="str">
        <f>IFERROR(VLOOKUP(A836,庫存!$A:$I,3,0),"")</f>
        <v/>
      </c>
      <c r="D836" s="54"/>
      <c r="E836" s="35" t="str">
        <f t="shared" si="26"/>
        <v/>
      </c>
      <c r="F836" s="45" t="str">
        <f>IFERROR(VLOOKUP(A836,庫存!$A:$I,4,0),"0")</f>
        <v>0</v>
      </c>
      <c r="G836" s="43" t="str">
        <f t="shared" si="27"/>
        <v/>
      </c>
      <c r="H836" s="24" t="str">
        <f>IFERROR(VLOOKUP(A836,庫存!$A:$I,8,0),"")</f>
        <v/>
      </c>
      <c r="I836" s="24" t="str">
        <f>IFERROR(VLOOKUP(A836,庫存!$A:$I,9,0),"")</f>
        <v/>
      </c>
    </row>
    <row r="837" spans="1:9" ht="23" customHeight="1" x14ac:dyDescent="0.35">
      <c r="A837" s="57"/>
      <c r="B837" s="34" t="str">
        <f>IFERROR(VLOOKUP(A837,庫存!$A:$I,2,0),"")</f>
        <v/>
      </c>
      <c r="C837" s="34" t="str">
        <f>IFERROR(VLOOKUP(A837,庫存!$A:$I,3,0),"")</f>
        <v/>
      </c>
      <c r="D837" s="54"/>
      <c r="E837" s="35" t="str">
        <f t="shared" si="26"/>
        <v/>
      </c>
      <c r="F837" s="45" t="str">
        <f>IFERROR(VLOOKUP(A837,庫存!$A:$I,4,0),"0")</f>
        <v>0</v>
      </c>
      <c r="G837" s="43" t="str">
        <f t="shared" si="27"/>
        <v/>
      </c>
      <c r="H837" s="24" t="str">
        <f>IFERROR(VLOOKUP(A837,庫存!$A:$I,8,0),"")</f>
        <v/>
      </c>
      <c r="I837" s="24" t="str">
        <f>IFERROR(VLOOKUP(A837,庫存!$A:$I,9,0),"")</f>
        <v/>
      </c>
    </row>
    <row r="838" spans="1:9" ht="23" customHeight="1" x14ac:dyDescent="0.35">
      <c r="A838" s="57"/>
      <c r="B838" s="34" t="str">
        <f>IFERROR(VLOOKUP(A838,庫存!$A:$I,2,0),"")</f>
        <v/>
      </c>
      <c r="C838" s="34" t="str">
        <f>IFERROR(VLOOKUP(A838,庫存!$A:$I,3,0),"")</f>
        <v/>
      </c>
      <c r="D838" s="54"/>
      <c r="E838" s="35" t="str">
        <f t="shared" si="26"/>
        <v/>
      </c>
      <c r="F838" s="45" t="str">
        <f>IFERROR(VLOOKUP(A838,庫存!$A:$I,4,0),"0")</f>
        <v>0</v>
      </c>
      <c r="G838" s="43" t="str">
        <f t="shared" si="27"/>
        <v/>
      </c>
      <c r="H838" s="24" t="str">
        <f>IFERROR(VLOOKUP(A838,庫存!$A:$I,8,0),"")</f>
        <v/>
      </c>
      <c r="I838" s="24" t="str">
        <f>IFERROR(VLOOKUP(A838,庫存!$A:$I,9,0),"")</f>
        <v/>
      </c>
    </row>
    <row r="839" spans="1:9" ht="23" customHeight="1" x14ac:dyDescent="0.35">
      <c r="A839" s="57"/>
      <c r="B839" s="34" t="str">
        <f>IFERROR(VLOOKUP(A839,庫存!$A:$I,2,0),"")</f>
        <v/>
      </c>
      <c r="C839" s="34" t="str">
        <f>IFERROR(VLOOKUP(A839,庫存!$A:$I,3,0),"")</f>
        <v/>
      </c>
      <c r="D839" s="54"/>
      <c r="E839" s="35" t="str">
        <f t="shared" si="26"/>
        <v/>
      </c>
      <c r="F839" s="45" t="str">
        <f>IFERROR(VLOOKUP(A839,庫存!$A:$I,4,0),"0")</f>
        <v>0</v>
      </c>
      <c r="G839" s="43" t="str">
        <f t="shared" si="27"/>
        <v/>
      </c>
      <c r="H839" s="24" t="str">
        <f>IFERROR(VLOOKUP(A839,庫存!$A:$I,8,0),"")</f>
        <v/>
      </c>
      <c r="I839" s="24" t="str">
        <f>IFERROR(VLOOKUP(A839,庫存!$A:$I,9,0),"")</f>
        <v/>
      </c>
    </row>
    <row r="840" spans="1:9" ht="23" customHeight="1" x14ac:dyDescent="0.35">
      <c r="A840" s="57"/>
      <c r="B840" s="34" t="str">
        <f>IFERROR(VLOOKUP(A840,庫存!$A:$I,2,0),"")</f>
        <v/>
      </c>
      <c r="C840" s="34" t="str">
        <f>IFERROR(VLOOKUP(A840,庫存!$A:$I,3,0),"")</f>
        <v/>
      </c>
      <c r="D840" s="54"/>
      <c r="E840" s="35" t="str">
        <f t="shared" si="26"/>
        <v/>
      </c>
      <c r="F840" s="45" t="str">
        <f>IFERROR(VLOOKUP(A840,庫存!$A:$I,4,0),"0")</f>
        <v>0</v>
      </c>
      <c r="G840" s="43" t="str">
        <f t="shared" si="27"/>
        <v/>
      </c>
      <c r="H840" s="24" t="str">
        <f>IFERROR(VLOOKUP(A840,庫存!$A:$I,8,0),"")</f>
        <v/>
      </c>
      <c r="I840" s="24" t="str">
        <f>IFERROR(VLOOKUP(A840,庫存!$A:$I,9,0),"")</f>
        <v/>
      </c>
    </row>
    <row r="841" spans="1:9" ht="23" customHeight="1" x14ac:dyDescent="0.35">
      <c r="A841" s="57"/>
      <c r="B841" s="34" t="str">
        <f>IFERROR(VLOOKUP(A841,庫存!$A:$I,2,0),"")</f>
        <v/>
      </c>
      <c r="C841" s="34" t="str">
        <f>IFERROR(VLOOKUP(A841,庫存!$A:$I,3,0),"")</f>
        <v/>
      </c>
      <c r="D841" s="54"/>
      <c r="E841" s="35" t="str">
        <f t="shared" si="26"/>
        <v/>
      </c>
      <c r="F841" s="45" t="str">
        <f>IFERROR(VLOOKUP(A841,庫存!$A:$I,4,0),"0")</f>
        <v>0</v>
      </c>
      <c r="G841" s="43" t="str">
        <f t="shared" si="27"/>
        <v/>
      </c>
      <c r="H841" s="24" t="str">
        <f>IFERROR(VLOOKUP(A841,庫存!$A:$I,8,0),"")</f>
        <v/>
      </c>
      <c r="I841" s="24" t="str">
        <f>IFERROR(VLOOKUP(A841,庫存!$A:$I,9,0),"")</f>
        <v/>
      </c>
    </row>
    <row r="842" spans="1:9" ht="23" customHeight="1" x14ac:dyDescent="0.35">
      <c r="A842" s="57"/>
      <c r="B842" s="34" t="str">
        <f>IFERROR(VLOOKUP(A842,庫存!$A:$I,2,0),"")</f>
        <v/>
      </c>
      <c r="C842" s="34" t="str">
        <f>IFERROR(VLOOKUP(A842,庫存!$A:$I,3,0),"")</f>
        <v/>
      </c>
      <c r="D842" s="54"/>
      <c r="E842" s="35" t="str">
        <f t="shared" si="26"/>
        <v/>
      </c>
      <c r="F842" s="45" t="str">
        <f>IFERROR(VLOOKUP(A842,庫存!$A:$I,4,0),"0")</f>
        <v>0</v>
      </c>
      <c r="G842" s="43" t="str">
        <f t="shared" si="27"/>
        <v/>
      </c>
      <c r="H842" s="24" t="str">
        <f>IFERROR(VLOOKUP(A842,庫存!$A:$I,8,0),"")</f>
        <v/>
      </c>
      <c r="I842" s="24" t="str">
        <f>IFERROR(VLOOKUP(A842,庫存!$A:$I,9,0),"")</f>
        <v/>
      </c>
    </row>
    <row r="843" spans="1:9" ht="23" customHeight="1" x14ac:dyDescent="0.35">
      <c r="A843" s="57"/>
      <c r="B843" s="34" t="str">
        <f>IFERROR(VLOOKUP(A843,庫存!$A:$I,2,0),"")</f>
        <v/>
      </c>
      <c r="C843" s="34" t="str">
        <f>IFERROR(VLOOKUP(A843,庫存!$A:$I,3,0),"")</f>
        <v/>
      </c>
      <c r="D843" s="54"/>
      <c r="E843" s="35" t="str">
        <f t="shared" si="26"/>
        <v/>
      </c>
      <c r="F843" s="45" t="str">
        <f>IFERROR(VLOOKUP(A843,庫存!$A:$I,4,0),"0")</f>
        <v>0</v>
      </c>
      <c r="G843" s="43" t="str">
        <f t="shared" si="27"/>
        <v/>
      </c>
      <c r="H843" s="24" t="str">
        <f>IFERROR(VLOOKUP(A843,庫存!$A:$I,8,0),"")</f>
        <v/>
      </c>
      <c r="I843" s="24" t="str">
        <f>IFERROR(VLOOKUP(A843,庫存!$A:$I,9,0),"")</f>
        <v/>
      </c>
    </row>
    <row r="844" spans="1:9" ht="23" customHeight="1" x14ac:dyDescent="0.35">
      <c r="A844" s="57"/>
      <c r="B844" s="34" t="str">
        <f>IFERROR(VLOOKUP(A844,庫存!$A:$I,2,0),"")</f>
        <v/>
      </c>
      <c r="C844" s="34" t="str">
        <f>IFERROR(VLOOKUP(A844,庫存!$A:$I,3,0),"")</f>
        <v/>
      </c>
      <c r="D844" s="54"/>
      <c r="E844" s="35" t="str">
        <f t="shared" si="26"/>
        <v/>
      </c>
      <c r="F844" s="45" t="str">
        <f>IFERROR(VLOOKUP(A844,庫存!$A:$I,4,0),"0")</f>
        <v>0</v>
      </c>
      <c r="G844" s="43" t="str">
        <f t="shared" si="27"/>
        <v/>
      </c>
      <c r="H844" s="24" t="str">
        <f>IFERROR(VLOOKUP(A844,庫存!$A:$I,8,0),"")</f>
        <v/>
      </c>
      <c r="I844" s="24" t="str">
        <f>IFERROR(VLOOKUP(A844,庫存!$A:$I,9,0),"")</f>
        <v/>
      </c>
    </row>
    <row r="845" spans="1:9" ht="23" customHeight="1" x14ac:dyDescent="0.35">
      <c r="A845" s="57"/>
      <c r="B845" s="34" t="str">
        <f>IFERROR(VLOOKUP(A845,庫存!$A:$I,2,0),"")</f>
        <v/>
      </c>
      <c r="C845" s="34" t="str">
        <f>IFERROR(VLOOKUP(A845,庫存!$A:$I,3,0),"")</f>
        <v/>
      </c>
      <c r="D845" s="54"/>
      <c r="E845" s="35" t="str">
        <f t="shared" si="26"/>
        <v/>
      </c>
      <c r="F845" s="45" t="str">
        <f>IFERROR(VLOOKUP(A845,庫存!$A:$I,4,0),"0")</f>
        <v>0</v>
      </c>
      <c r="G845" s="43" t="str">
        <f t="shared" si="27"/>
        <v/>
      </c>
      <c r="H845" s="24" t="str">
        <f>IFERROR(VLOOKUP(A845,庫存!$A:$I,8,0),"")</f>
        <v/>
      </c>
      <c r="I845" s="24" t="str">
        <f>IFERROR(VLOOKUP(A845,庫存!$A:$I,9,0),"")</f>
        <v/>
      </c>
    </row>
    <row r="846" spans="1:9" ht="23" customHeight="1" x14ac:dyDescent="0.35">
      <c r="A846" s="57"/>
      <c r="B846" s="34" t="str">
        <f>IFERROR(VLOOKUP(A846,庫存!$A:$I,2,0),"")</f>
        <v/>
      </c>
      <c r="C846" s="34" t="str">
        <f>IFERROR(VLOOKUP(A846,庫存!$A:$I,3,0),"")</f>
        <v/>
      </c>
      <c r="D846" s="54"/>
      <c r="E846" s="35" t="str">
        <f t="shared" si="26"/>
        <v/>
      </c>
      <c r="F846" s="45" t="str">
        <f>IFERROR(VLOOKUP(A846,庫存!$A:$I,4,0),"0")</f>
        <v>0</v>
      </c>
      <c r="G846" s="43" t="str">
        <f t="shared" si="27"/>
        <v/>
      </c>
      <c r="H846" s="24" t="str">
        <f>IFERROR(VLOOKUP(A846,庫存!$A:$I,8,0),"")</f>
        <v/>
      </c>
      <c r="I846" s="24" t="str">
        <f>IFERROR(VLOOKUP(A846,庫存!$A:$I,9,0),"")</f>
        <v/>
      </c>
    </row>
    <row r="847" spans="1:9" ht="23" customHeight="1" x14ac:dyDescent="0.35">
      <c r="A847" s="57"/>
      <c r="B847" s="34" t="str">
        <f>IFERROR(VLOOKUP(A847,庫存!$A:$I,2,0),"")</f>
        <v/>
      </c>
      <c r="C847" s="34" t="str">
        <f>IFERROR(VLOOKUP(A847,庫存!$A:$I,3,0),"")</f>
        <v/>
      </c>
      <c r="D847" s="54"/>
      <c r="E847" s="35" t="str">
        <f t="shared" si="26"/>
        <v/>
      </c>
      <c r="F847" s="45" t="str">
        <f>IFERROR(VLOOKUP(A847,庫存!$A:$I,4,0),"0")</f>
        <v>0</v>
      </c>
      <c r="G847" s="43" t="str">
        <f t="shared" si="27"/>
        <v/>
      </c>
      <c r="H847" s="24" t="str">
        <f>IFERROR(VLOOKUP(A847,庫存!$A:$I,8,0),"")</f>
        <v/>
      </c>
      <c r="I847" s="24" t="str">
        <f>IFERROR(VLOOKUP(A847,庫存!$A:$I,9,0),"")</f>
        <v/>
      </c>
    </row>
    <row r="848" spans="1:9" ht="23" customHeight="1" x14ac:dyDescent="0.35">
      <c r="A848" s="57"/>
      <c r="B848" s="34" t="str">
        <f>IFERROR(VLOOKUP(A848,庫存!$A:$I,2,0),"")</f>
        <v/>
      </c>
      <c r="C848" s="34" t="str">
        <f>IFERROR(VLOOKUP(A848,庫存!$A:$I,3,0),"")</f>
        <v/>
      </c>
      <c r="D848" s="54"/>
      <c r="E848" s="35" t="str">
        <f t="shared" si="26"/>
        <v/>
      </c>
      <c r="F848" s="45" t="str">
        <f>IFERROR(VLOOKUP(A848,庫存!$A:$I,4,0),"0")</f>
        <v>0</v>
      </c>
      <c r="G848" s="43" t="str">
        <f t="shared" si="27"/>
        <v/>
      </c>
      <c r="H848" s="24" t="str">
        <f>IFERROR(VLOOKUP(A848,庫存!$A:$I,8,0),"")</f>
        <v/>
      </c>
      <c r="I848" s="24" t="str">
        <f>IFERROR(VLOOKUP(A848,庫存!$A:$I,9,0),"")</f>
        <v/>
      </c>
    </row>
    <row r="849" spans="1:9" ht="23" customHeight="1" x14ac:dyDescent="0.35">
      <c r="A849" s="57"/>
      <c r="B849" s="34" t="str">
        <f>IFERROR(VLOOKUP(A849,庫存!$A:$I,2,0),"")</f>
        <v/>
      </c>
      <c r="C849" s="34" t="str">
        <f>IFERROR(VLOOKUP(A849,庫存!$A:$I,3,0),"")</f>
        <v/>
      </c>
      <c r="D849" s="54"/>
      <c r="E849" s="35" t="str">
        <f t="shared" si="26"/>
        <v/>
      </c>
      <c r="F849" s="45" t="str">
        <f>IFERROR(VLOOKUP(A849,庫存!$A:$I,4,0),"0")</f>
        <v>0</v>
      </c>
      <c r="G849" s="43" t="str">
        <f t="shared" si="27"/>
        <v/>
      </c>
      <c r="H849" s="24" t="str">
        <f>IFERROR(VLOOKUP(A849,庫存!$A:$I,8,0),"")</f>
        <v/>
      </c>
      <c r="I849" s="24" t="str">
        <f>IFERROR(VLOOKUP(A849,庫存!$A:$I,9,0),"")</f>
        <v/>
      </c>
    </row>
    <row r="850" spans="1:9" ht="23" customHeight="1" x14ac:dyDescent="0.35">
      <c r="A850" s="57"/>
      <c r="B850" s="34" t="str">
        <f>IFERROR(VLOOKUP(A850,庫存!$A:$I,2,0),"")</f>
        <v/>
      </c>
      <c r="C850" s="34" t="str">
        <f>IFERROR(VLOOKUP(A850,庫存!$A:$I,3,0),"")</f>
        <v/>
      </c>
      <c r="D850" s="54"/>
      <c r="E850" s="35" t="str">
        <f t="shared" si="26"/>
        <v/>
      </c>
      <c r="F850" s="45" t="str">
        <f>IFERROR(VLOOKUP(A850,庫存!$A:$I,4,0),"0")</f>
        <v>0</v>
      </c>
      <c r="G850" s="43" t="str">
        <f t="shared" si="27"/>
        <v/>
      </c>
      <c r="H850" s="24" t="str">
        <f>IFERROR(VLOOKUP(A850,庫存!$A:$I,8,0),"")</f>
        <v/>
      </c>
      <c r="I850" s="24" t="str">
        <f>IFERROR(VLOOKUP(A850,庫存!$A:$I,9,0),"")</f>
        <v/>
      </c>
    </row>
    <row r="851" spans="1:9" ht="23" customHeight="1" x14ac:dyDescent="0.35">
      <c r="A851" s="57"/>
      <c r="B851" s="34" t="str">
        <f>IFERROR(VLOOKUP(A851,庫存!$A:$I,2,0),"")</f>
        <v/>
      </c>
      <c r="C851" s="34" t="str">
        <f>IFERROR(VLOOKUP(A851,庫存!$A:$I,3,0),"")</f>
        <v/>
      </c>
      <c r="D851" s="54"/>
      <c r="E851" s="35" t="str">
        <f t="shared" si="26"/>
        <v/>
      </c>
      <c r="F851" s="45" t="str">
        <f>IFERROR(VLOOKUP(A851,庫存!$A:$I,4,0),"0")</f>
        <v>0</v>
      </c>
      <c r="G851" s="43" t="str">
        <f t="shared" si="27"/>
        <v/>
      </c>
      <c r="H851" s="24" t="str">
        <f>IFERROR(VLOOKUP(A851,庫存!$A:$I,8,0),"")</f>
        <v/>
      </c>
      <c r="I851" s="24" t="str">
        <f>IFERROR(VLOOKUP(A851,庫存!$A:$I,9,0),"")</f>
        <v/>
      </c>
    </row>
    <row r="852" spans="1:9" ht="23" customHeight="1" x14ac:dyDescent="0.35">
      <c r="A852" s="57"/>
      <c r="B852" s="34" t="str">
        <f>IFERROR(VLOOKUP(A852,庫存!$A:$I,2,0),"")</f>
        <v/>
      </c>
      <c r="C852" s="34" t="str">
        <f>IFERROR(VLOOKUP(A852,庫存!$A:$I,3,0),"")</f>
        <v/>
      </c>
      <c r="D852" s="54"/>
      <c r="E852" s="35" t="str">
        <f t="shared" si="26"/>
        <v/>
      </c>
      <c r="F852" s="45" t="str">
        <f>IFERROR(VLOOKUP(A852,庫存!$A:$I,4,0),"0")</f>
        <v>0</v>
      </c>
      <c r="G852" s="43" t="str">
        <f t="shared" si="27"/>
        <v/>
      </c>
      <c r="H852" s="24" t="str">
        <f>IFERROR(VLOOKUP(A852,庫存!$A:$I,8,0),"")</f>
        <v/>
      </c>
      <c r="I852" s="24" t="str">
        <f>IFERROR(VLOOKUP(A852,庫存!$A:$I,9,0),"")</f>
        <v/>
      </c>
    </row>
    <row r="853" spans="1:9" ht="23" customHeight="1" x14ac:dyDescent="0.35">
      <c r="A853" s="57"/>
      <c r="B853" s="34" t="str">
        <f>IFERROR(VLOOKUP(A853,庫存!$A:$I,2,0),"")</f>
        <v/>
      </c>
      <c r="C853" s="34" t="str">
        <f>IFERROR(VLOOKUP(A853,庫存!$A:$I,3,0),"")</f>
        <v/>
      </c>
      <c r="D853" s="54"/>
      <c r="E853" s="35" t="str">
        <f t="shared" si="26"/>
        <v/>
      </c>
      <c r="F853" s="45" t="str">
        <f>IFERROR(VLOOKUP(A853,庫存!$A:$I,4,0),"0")</f>
        <v>0</v>
      </c>
      <c r="G853" s="43" t="str">
        <f t="shared" si="27"/>
        <v/>
      </c>
      <c r="H853" s="24" t="str">
        <f>IFERROR(VLOOKUP(A853,庫存!$A:$I,8,0),"")</f>
        <v/>
      </c>
      <c r="I853" s="24" t="str">
        <f>IFERROR(VLOOKUP(A853,庫存!$A:$I,9,0),"")</f>
        <v/>
      </c>
    </row>
    <row r="854" spans="1:9" ht="23" customHeight="1" x14ac:dyDescent="0.35">
      <c r="A854" s="57"/>
      <c r="B854" s="34" t="str">
        <f>IFERROR(VLOOKUP(A854,庫存!$A:$I,2,0),"")</f>
        <v/>
      </c>
      <c r="C854" s="34" t="str">
        <f>IFERROR(VLOOKUP(A854,庫存!$A:$I,3,0),"")</f>
        <v/>
      </c>
      <c r="D854" s="54"/>
      <c r="E854" s="35" t="str">
        <f t="shared" si="26"/>
        <v/>
      </c>
      <c r="F854" s="45" t="str">
        <f>IFERROR(VLOOKUP(A854,庫存!$A:$I,4,0),"0")</f>
        <v>0</v>
      </c>
      <c r="G854" s="43" t="str">
        <f t="shared" si="27"/>
        <v/>
      </c>
      <c r="H854" s="24" t="str">
        <f>IFERROR(VLOOKUP(A854,庫存!$A:$I,8,0),"")</f>
        <v/>
      </c>
      <c r="I854" s="24" t="str">
        <f>IFERROR(VLOOKUP(A854,庫存!$A:$I,9,0),"")</f>
        <v/>
      </c>
    </row>
    <row r="855" spans="1:9" ht="23" customHeight="1" x14ac:dyDescent="0.35">
      <c r="A855" s="57"/>
      <c r="B855" s="34" t="str">
        <f>IFERROR(VLOOKUP(A855,庫存!$A:$I,2,0),"")</f>
        <v/>
      </c>
      <c r="C855" s="34" t="str">
        <f>IFERROR(VLOOKUP(A855,庫存!$A:$I,3,0),"")</f>
        <v/>
      </c>
      <c r="D855" s="54"/>
      <c r="E855" s="35" t="str">
        <f t="shared" si="26"/>
        <v/>
      </c>
      <c r="F855" s="45" t="str">
        <f>IFERROR(VLOOKUP(A855,庫存!$A:$I,4,0),"0")</f>
        <v>0</v>
      </c>
      <c r="G855" s="43" t="str">
        <f t="shared" si="27"/>
        <v/>
      </c>
      <c r="H855" s="24" t="str">
        <f>IFERROR(VLOOKUP(A855,庫存!$A:$I,8,0),"")</f>
        <v/>
      </c>
      <c r="I855" s="24" t="str">
        <f>IFERROR(VLOOKUP(A855,庫存!$A:$I,9,0),"")</f>
        <v/>
      </c>
    </row>
    <row r="856" spans="1:9" ht="23" customHeight="1" x14ac:dyDescent="0.35">
      <c r="A856" s="57"/>
      <c r="B856" s="34" t="str">
        <f>IFERROR(VLOOKUP(A856,庫存!$A:$I,2,0),"")</f>
        <v/>
      </c>
      <c r="C856" s="34" t="str">
        <f>IFERROR(VLOOKUP(A856,庫存!$A:$I,3,0),"")</f>
        <v/>
      </c>
      <c r="D856" s="54"/>
      <c r="E856" s="35" t="str">
        <f t="shared" si="26"/>
        <v/>
      </c>
      <c r="F856" s="45" t="str">
        <f>IFERROR(VLOOKUP(A856,庫存!$A:$I,4,0),"0")</f>
        <v>0</v>
      </c>
      <c r="G856" s="43" t="str">
        <f t="shared" si="27"/>
        <v/>
      </c>
      <c r="H856" s="24" t="str">
        <f>IFERROR(VLOOKUP(A856,庫存!$A:$I,8,0),"")</f>
        <v/>
      </c>
      <c r="I856" s="24" t="str">
        <f>IFERROR(VLOOKUP(A856,庫存!$A:$I,9,0),"")</f>
        <v/>
      </c>
    </row>
    <row r="857" spans="1:9" ht="23" customHeight="1" x14ac:dyDescent="0.35">
      <c r="A857" s="57"/>
      <c r="B857" s="34" t="str">
        <f>IFERROR(VLOOKUP(A857,庫存!$A:$I,2,0),"")</f>
        <v/>
      </c>
      <c r="C857" s="34" t="str">
        <f>IFERROR(VLOOKUP(A857,庫存!$A:$I,3,0),"")</f>
        <v/>
      </c>
      <c r="D857" s="54"/>
      <c r="E857" s="35" t="str">
        <f t="shared" si="26"/>
        <v/>
      </c>
      <c r="F857" s="45" t="str">
        <f>IFERROR(VLOOKUP(A857,庫存!$A:$I,4,0),"0")</f>
        <v>0</v>
      </c>
      <c r="G857" s="43" t="str">
        <f t="shared" si="27"/>
        <v/>
      </c>
      <c r="H857" s="24" t="str">
        <f>IFERROR(VLOOKUP(A857,庫存!$A:$I,8,0),"")</f>
        <v/>
      </c>
      <c r="I857" s="24" t="str">
        <f>IFERROR(VLOOKUP(A857,庫存!$A:$I,9,0),"")</f>
        <v/>
      </c>
    </row>
    <row r="858" spans="1:9" ht="23" customHeight="1" x14ac:dyDescent="0.35">
      <c r="A858" s="57"/>
      <c r="B858" s="34" t="str">
        <f>IFERROR(VLOOKUP(A858,庫存!$A:$I,2,0),"")</f>
        <v/>
      </c>
      <c r="C858" s="34" t="str">
        <f>IFERROR(VLOOKUP(A858,庫存!$A:$I,3,0),"")</f>
        <v/>
      </c>
      <c r="D858" s="54"/>
      <c r="E858" s="35" t="str">
        <f t="shared" si="26"/>
        <v/>
      </c>
      <c r="F858" s="45" t="str">
        <f>IFERROR(VLOOKUP(A858,庫存!$A:$I,4,0),"0")</f>
        <v>0</v>
      </c>
      <c r="G858" s="43" t="str">
        <f t="shared" si="27"/>
        <v/>
      </c>
      <c r="H858" s="24" t="str">
        <f>IFERROR(VLOOKUP(A858,庫存!$A:$I,8,0),"")</f>
        <v/>
      </c>
      <c r="I858" s="24" t="str">
        <f>IFERROR(VLOOKUP(A858,庫存!$A:$I,9,0),"")</f>
        <v/>
      </c>
    </row>
    <row r="859" spans="1:9" ht="23" customHeight="1" x14ac:dyDescent="0.35">
      <c r="A859" s="57"/>
      <c r="B859" s="34" t="str">
        <f>IFERROR(VLOOKUP(A859,庫存!$A:$I,2,0),"")</f>
        <v/>
      </c>
      <c r="C859" s="34" t="str">
        <f>IFERROR(VLOOKUP(A859,庫存!$A:$I,3,0),"")</f>
        <v/>
      </c>
      <c r="D859" s="54"/>
      <c r="E859" s="35" t="str">
        <f t="shared" si="26"/>
        <v/>
      </c>
      <c r="F859" s="45" t="str">
        <f>IFERROR(VLOOKUP(A859,庫存!$A:$I,4,0),"0")</f>
        <v>0</v>
      </c>
      <c r="G859" s="43" t="str">
        <f t="shared" si="27"/>
        <v/>
      </c>
      <c r="H859" s="24" t="str">
        <f>IFERROR(VLOOKUP(A859,庫存!$A:$I,8,0),"")</f>
        <v/>
      </c>
      <c r="I859" s="24" t="str">
        <f>IFERROR(VLOOKUP(A859,庫存!$A:$I,9,0),"")</f>
        <v/>
      </c>
    </row>
    <row r="860" spans="1:9" ht="23" customHeight="1" x14ac:dyDescent="0.35">
      <c r="A860" s="57"/>
      <c r="B860" s="34" t="str">
        <f>IFERROR(VLOOKUP(A860,庫存!$A:$I,2,0),"")</f>
        <v/>
      </c>
      <c r="C860" s="34" t="str">
        <f>IFERROR(VLOOKUP(A860,庫存!$A:$I,3,0),"")</f>
        <v/>
      </c>
      <c r="D860" s="54"/>
      <c r="E860" s="35" t="str">
        <f t="shared" si="26"/>
        <v/>
      </c>
      <c r="F860" s="45" t="str">
        <f>IFERROR(VLOOKUP(A860,庫存!$A:$I,4,0),"0")</f>
        <v>0</v>
      </c>
      <c r="G860" s="43" t="str">
        <f t="shared" si="27"/>
        <v/>
      </c>
      <c r="H860" s="24" t="str">
        <f>IFERROR(VLOOKUP(A860,庫存!$A:$I,8,0),"")</f>
        <v/>
      </c>
      <c r="I860" s="24" t="str">
        <f>IFERROR(VLOOKUP(A860,庫存!$A:$I,9,0),"")</f>
        <v/>
      </c>
    </row>
    <row r="861" spans="1:9" ht="23" customHeight="1" x14ac:dyDescent="0.35">
      <c r="A861" s="57"/>
      <c r="B861" s="34" t="str">
        <f>IFERROR(VLOOKUP(A861,庫存!$A:$I,2,0),"")</f>
        <v/>
      </c>
      <c r="C861" s="34" t="str">
        <f>IFERROR(VLOOKUP(A861,庫存!$A:$I,3,0),"")</f>
        <v/>
      </c>
      <c r="D861" s="54"/>
      <c r="E861" s="35" t="str">
        <f t="shared" si="26"/>
        <v/>
      </c>
      <c r="F861" s="45" t="str">
        <f>IFERROR(VLOOKUP(A861,庫存!$A:$I,4,0),"0")</f>
        <v>0</v>
      </c>
      <c r="G861" s="43" t="str">
        <f t="shared" si="27"/>
        <v/>
      </c>
      <c r="H861" s="24" t="str">
        <f>IFERROR(VLOOKUP(A861,庫存!$A:$I,8,0),"")</f>
        <v/>
      </c>
      <c r="I861" s="24" t="str">
        <f>IFERROR(VLOOKUP(A861,庫存!$A:$I,9,0),"")</f>
        <v/>
      </c>
    </row>
    <row r="862" spans="1:9" ht="23" customHeight="1" x14ac:dyDescent="0.35">
      <c r="A862" s="57"/>
      <c r="B862" s="34" t="str">
        <f>IFERROR(VLOOKUP(A862,庫存!$A:$I,2,0),"")</f>
        <v/>
      </c>
      <c r="C862" s="34" t="str">
        <f>IFERROR(VLOOKUP(A862,庫存!$A:$I,3,0),"")</f>
        <v/>
      </c>
      <c r="D862" s="54"/>
      <c r="E862" s="35" t="str">
        <f t="shared" si="26"/>
        <v/>
      </c>
      <c r="F862" s="45" t="str">
        <f>IFERROR(VLOOKUP(A862,庫存!$A:$I,4,0),"0")</f>
        <v>0</v>
      </c>
      <c r="G862" s="43" t="str">
        <f t="shared" si="27"/>
        <v/>
      </c>
      <c r="H862" s="24" t="str">
        <f>IFERROR(VLOOKUP(A862,庫存!$A:$I,8,0),"")</f>
        <v/>
      </c>
      <c r="I862" s="24" t="str">
        <f>IFERROR(VLOOKUP(A862,庫存!$A:$I,9,0),"")</f>
        <v/>
      </c>
    </row>
    <row r="863" spans="1:9" ht="23" customHeight="1" x14ac:dyDescent="0.35">
      <c r="A863" s="57"/>
      <c r="B863" s="34" t="str">
        <f>IFERROR(VLOOKUP(A863,庫存!$A:$I,2,0),"")</f>
        <v/>
      </c>
      <c r="C863" s="34" t="str">
        <f>IFERROR(VLOOKUP(A863,庫存!$A:$I,3,0),"")</f>
        <v/>
      </c>
      <c r="D863" s="54"/>
      <c r="E863" s="35" t="str">
        <f t="shared" si="26"/>
        <v/>
      </c>
      <c r="F863" s="45" t="str">
        <f>IFERROR(VLOOKUP(A863,庫存!$A:$I,4,0),"0")</f>
        <v>0</v>
      </c>
      <c r="G863" s="43" t="str">
        <f t="shared" si="27"/>
        <v/>
      </c>
      <c r="H863" s="24" t="str">
        <f>IFERROR(VLOOKUP(A863,庫存!$A:$I,8,0),"")</f>
        <v/>
      </c>
      <c r="I863" s="24" t="str">
        <f>IFERROR(VLOOKUP(A863,庫存!$A:$I,9,0),"")</f>
        <v/>
      </c>
    </row>
    <row r="864" spans="1:9" ht="23" customHeight="1" x14ac:dyDescent="0.35">
      <c r="A864" s="57"/>
      <c r="B864" s="34" t="str">
        <f>IFERROR(VLOOKUP(A864,庫存!$A:$I,2,0),"")</f>
        <v/>
      </c>
      <c r="C864" s="34" t="str">
        <f>IFERROR(VLOOKUP(A864,庫存!$A:$I,3,0),"")</f>
        <v/>
      </c>
      <c r="D864" s="54"/>
      <c r="E864" s="35" t="str">
        <f t="shared" si="26"/>
        <v/>
      </c>
      <c r="F864" s="45" t="str">
        <f>IFERROR(VLOOKUP(A864,庫存!$A:$I,4,0),"0")</f>
        <v>0</v>
      </c>
      <c r="G864" s="43" t="str">
        <f t="shared" si="27"/>
        <v/>
      </c>
      <c r="H864" s="24" t="str">
        <f>IFERROR(VLOOKUP(A864,庫存!$A:$I,8,0),"")</f>
        <v/>
      </c>
      <c r="I864" s="24" t="str">
        <f>IFERROR(VLOOKUP(A864,庫存!$A:$I,9,0),"")</f>
        <v/>
      </c>
    </row>
    <row r="865" spans="1:9" ht="23" customHeight="1" x14ac:dyDescent="0.35">
      <c r="A865" s="57"/>
      <c r="B865" s="34" t="str">
        <f>IFERROR(VLOOKUP(A865,庫存!$A:$I,2,0),"")</f>
        <v/>
      </c>
      <c r="C865" s="34" t="str">
        <f>IFERROR(VLOOKUP(A865,庫存!$A:$I,3,0),"")</f>
        <v/>
      </c>
      <c r="D865" s="54"/>
      <c r="E865" s="35" t="str">
        <f t="shared" si="26"/>
        <v/>
      </c>
      <c r="F865" s="45" t="str">
        <f>IFERROR(VLOOKUP(A865,庫存!$A:$I,4,0),"0")</f>
        <v>0</v>
      </c>
      <c r="G865" s="43" t="str">
        <f t="shared" si="27"/>
        <v/>
      </c>
      <c r="H865" s="24" t="str">
        <f>IFERROR(VLOOKUP(A865,庫存!$A:$I,8,0),"")</f>
        <v/>
      </c>
      <c r="I865" s="24" t="str">
        <f>IFERROR(VLOOKUP(A865,庫存!$A:$I,9,0),"")</f>
        <v/>
      </c>
    </row>
    <row r="866" spans="1:9" ht="23" customHeight="1" x14ac:dyDescent="0.35">
      <c r="A866" s="57"/>
      <c r="B866" s="34" t="str">
        <f>IFERROR(VLOOKUP(A866,庫存!$A:$I,2,0),"")</f>
        <v/>
      </c>
      <c r="C866" s="34" t="str">
        <f>IFERROR(VLOOKUP(A866,庫存!$A:$I,3,0),"")</f>
        <v/>
      </c>
      <c r="D866" s="54"/>
      <c r="E866" s="35" t="str">
        <f t="shared" si="26"/>
        <v/>
      </c>
      <c r="F866" s="45" t="str">
        <f>IFERROR(VLOOKUP(A866,庫存!$A:$I,4,0),"0")</f>
        <v>0</v>
      </c>
      <c r="G866" s="43" t="str">
        <f t="shared" si="27"/>
        <v/>
      </c>
      <c r="H866" s="24" t="str">
        <f>IFERROR(VLOOKUP(A866,庫存!$A:$I,8,0),"")</f>
        <v/>
      </c>
      <c r="I866" s="24" t="str">
        <f>IFERROR(VLOOKUP(A866,庫存!$A:$I,9,0),"")</f>
        <v/>
      </c>
    </row>
    <row r="867" spans="1:9" ht="23" customHeight="1" x14ac:dyDescent="0.35">
      <c r="A867" s="57"/>
      <c r="B867" s="34" t="str">
        <f>IFERROR(VLOOKUP(A867,庫存!$A:$I,2,0),"")</f>
        <v/>
      </c>
      <c r="C867" s="34" t="str">
        <f>IFERROR(VLOOKUP(A867,庫存!$A:$I,3,0),"")</f>
        <v/>
      </c>
      <c r="D867" s="54"/>
      <c r="E867" s="35" t="str">
        <f t="shared" si="26"/>
        <v/>
      </c>
      <c r="F867" s="45" t="str">
        <f>IFERROR(VLOOKUP(A867,庫存!$A:$I,4,0),"0")</f>
        <v>0</v>
      </c>
      <c r="G867" s="43" t="str">
        <f t="shared" si="27"/>
        <v/>
      </c>
      <c r="H867" s="24" t="str">
        <f>IFERROR(VLOOKUP(A867,庫存!$A:$I,8,0),"")</f>
        <v/>
      </c>
      <c r="I867" s="24" t="str">
        <f>IFERROR(VLOOKUP(A867,庫存!$A:$I,9,0),"")</f>
        <v/>
      </c>
    </row>
    <row r="868" spans="1:9" ht="23" customHeight="1" x14ac:dyDescent="0.35">
      <c r="A868" s="57"/>
      <c r="B868" s="34" t="str">
        <f>IFERROR(VLOOKUP(A868,庫存!$A:$I,2,0),"")</f>
        <v/>
      </c>
      <c r="C868" s="34" t="str">
        <f>IFERROR(VLOOKUP(A868,庫存!$A:$I,3,0),"")</f>
        <v/>
      </c>
      <c r="D868" s="54"/>
      <c r="E868" s="35" t="str">
        <f t="shared" si="26"/>
        <v/>
      </c>
      <c r="F868" s="45" t="str">
        <f>IFERROR(VLOOKUP(A868,庫存!$A:$I,4,0),"0")</f>
        <v>0</v>
      </c>
      <c r="G868" s="43" t="str">
        <f t="shared" si="27"/>
        <v/>
      </c>
      <c r="H868" s="24" t="str">
        <f>IFERROR(VLOOKUP(A868,庫存!$A:$I,8,0),"")</f>
        <v/>
      </c>
      <c r="I868" s="24" t="str">
        <f>IFERROR(VLOOKUP(A868,庫存!$A:$I,9,0),"")</f>
        <v/>
      </c>
    </row>
    <row r="869" spans="1:9" ht="23" customHeight="1" x14ac:dyDescent="0.35">
      <c r="A869" s="57"/>
      <c r="B869" s="34" t="str">
        <f>IFERROR(VLOOKUP(A869,庫存!$A:$I,2,0),"")</f>
        <v/>
      </c>
      <c r="C869" s="34" t="str">
        <f>IFERROR(VLOOKUP(A869,庫存!$A:$I,3,0),"")</f>
        <v/>
      </c>
      <c r="D869" s="54"/>
      <c r="E869" s="35" t="str">
        <f t="shared" si="26"/>
        <v/>
      </c>
      <c r="F869" s="45" t="str">
        <f>IFERROR(VLOOKUP(A869,庫存!$A:$I,4,0),"0")</f>
        <v>0</v>
      </c>
      <c r="G869" s="43" t="str">
        <f t="shared" si="27"/>
        <v/>
      </c>
      <c r="H869" s="24" t="str">
        <f>IFERROR(VLOOKUP(A869,庫存!$A:$I,8,0),"")</f>
        <v/>
      </c>
      <c r="I869" s="24" t="str">
        <f>IFERROR(VLOOKUP(A869,庫存!$A:$I,9,0),"")</f>
        <v/>
      </c>
    </row>
    <row r="870" spans="1:9" ht="23" customHeight="1" x14ac:dyDescent="0.35">
      <c r="A870" s="57"/>
      <c r="B870" s="34" t="str">
        <f>IFERROR(VLOOKUP(A870,庫存!$A:$I,2,0),"")</f>
        <v/>
      </c>
      <c r="C870" s="34" t="str">
        <f>IFERROR(VLOOKUP(A870,庫存!$A:$I,3,0),"")</f>
        <v/>
      </c>
      <c r="D870" s="54"/>
      <c r="E870" s="35" t="str">
        <f t="shared" si="26"/>
        <v/>
      </c>
      <c r="F870" s="45" t="str">
        <f>IFERROR(VLOOKUP(A870,庫存!$A:$I,4,0),"0")</f>
        <v>0</v>
      </c>
      <c r="G870" s="43" t="str">
        <f t="shared" si="27"/>
        <v/>
      </c>
      <c r="H870" s="24" t="str">
        <f>IFERROR(VLOOKUP(A870,庫存!$A:$I,8,0),"")</f>
        <v/>
      </c>
      <c r="I870" s="24" t="str">
        <f>IFERROR(VLOOKUP(A870,庫存!$A:$I,9,0),"")</f>
        <v/>
      </c>
    </row>
    <row r="871" spans="1:9" ht="23" customHeight="1" x14ac:dyDescent="0.35">
      <c r="A871" s="57"/>
      <c r="B871" s="34" t="str">
        <f>IFERROR(VLOOKUP(A871,庫存!$A:$I,2,0),"")</f>
        <v/>
      </c>
      <c r="C871" s="34" t="str">
        <f>IFERROR(VLOOKUP(A871,庫存!$A:$I,3,0),"")</f>
        <v/>
      </c>
      <c r="D871" s="54"/>
      <c r="E871" s="35" t="str">
        <f t="shared" si="26"/>
        <v/>
      </c>
      <c r="F871" s="45" t="str">
        <f>IFERROR(VLOOKUP(A871,庫存!$A:$I,4,0),"0")</f>
        <v>0</v>
      </c>
      <c r="G871" s="43" t="str">
        <f t="shared" si="27"/>
        <v/>
      </c>
      <c r="H871" s="24" t="str">
        <f>IFERROR(VLOOKUP(A871,庫存!$A:$I,8,0),"")</f>
        <v/>
      </c>
      <c r="I871" s="24" t="str">
        <f>IFERROR(VLOOKUP(A871,庫存!$A:$I,9,0),"")</f>
        <v/>
      </c>
    </row>
    <row r="872" spans="1:9" ht="23" customHeight="1" x14ac:dyDescent="0.35">
      <c r="A872" s="57"/>
      <c r="B872" s="34" t="str">
        <f>IFERROR(VLOOKUP(A872,庫存!$A:$I,2,0),"")</f>
        <v/>
      </c>
      <c r="C872" s="34" t="str">
        <f>IFERROR(VLOOKUP(A872,庫存!$A:$I,3,0),"")</f>
        <v/>
      </c>
      <c r="D872" s="54"/>
      <c r="E872" s="35" t="str">
        <f t="shared" si="26"/>
        <v/>
      </c>
      <c r="F872" s="45" t="str">
        <f>IFERROR(VLOOKUP(A872,庫存!$A:$I,4,0),"0")</f>
        <v>0</v>
      </c>
      <c r="G872" s="43" t="str">
        <f t="shared" si="27"/>
        <v/>
      </c>
      <c r="H872" s="24" t="str">
        <f>IFERROR(VLOOKUP(A872,庫存!$A:$I,8,0),"")</f>
        <v/>
      </c>
      <c r="I872" s="24" t="str">
        <f>IFERROR(VLOOKUP(A872,庫存!$A:$I,9,0),"")</f>
        <v/>
      </c>
    </row>
    <row r="873" spans="1:9" ht="23" customHeight="1" x14ac:dyDescent="0.35">
      <c r="A873" s="57"/>
      <c r="B873" s="34" t="str">
        <f>IFERROR(VLOOKUP(A873,庫存!$A:$I,2,0),"")</f>
        <v/>
      </c>
      <c r="C873" s="34" t="str">
        <f>IFERROR(VLOOKUP(A873,庫存!$A:$I,3,0),"")</f>
        <v/>
      </c>
      <c r="D873" s="54"/>
      <c r="E873" s="35" t="str">
        <f t="shared" si="26"/>
        <v/>
      </c>
      <c r="F873" s="45" t="str">
        <f>IFERROR(VLOOKUP(A873,庫存!$A:$I,4,0),"0")</f>
        <v>0</v>
      </c>
      <c r="G873" s="43" t="str">
        <f t="shared" si="27"/>
        <v/>
      </c>
      <c r="H873" s="24" t="str">
        <f>IFERROR(VLOOKUP(A873,庫存!$A:$I,8,0),"")</f>
        <v/>
      </c>
      <c r="I873" s="24" t="str">
        <f>IFERROR(VLOOKUP(A873,庫存!$A:$I,9,0),"")</f>
        <v/>
      </c>
    </row>
    <row r="874" spans="1:9" ht="23" customHeight="1" x14ac:dyDescent="0.35">
      <c r="A874" s="57"/>
      <c r="B874" s="34" t="str">
        <f>IFERROR(VLOOKUP(A874,庫存!$A:$I,2,0),"")</f>
        <v/>
      </c>
      <c r="C874" s="34" t="str">
        <f>IFERROR(VLOOKUP(A874,庫存!$A:$I,3,0),"")</f>
        <v/>
      </c>
      <c r="D874" s="54"/>
      <c r="E874" s="35" t="str">
        <f t="shared" si="26"/>
        <v/>
      </c>
      <c r="F874" s="45" t="str">
        <f>IFERROR(VLOOKUP(A874,庫存!$A:$I,4,0),"0")</f>
        <v>0</v>
      </c>
      <c r="G874" s="43" t="str">
        <f t="shared" si="27"/>
        <v/>
      </c>
      <c r="H874" s="24" t="str">
        <f>IFERROR(VLOOKUP(A874,庫存!$A:$I,8,0),"")</f>
        <v/>
      </c>
      <c r="I874" s="24" t="str">
        <f>IFERROR(VLOOKUP(A874,庫存!$A:$I,9,0),"")</f>
        <v/>
      </c>
    </row>
    <row r="875" spans="1:9" ht="23" customHeight="1" x14ac:dyDescent="0.35">
      <c r="A875" s="57"/>
      <c r="B875" s="34" t="str">
        <f>IFERROR(VLOOKUP(A875,庫存!$A:$I,2,0),"")</f>
        <v/>
      </c>
      <c r="C875" s="34" t="str">
        <f>IFERROR(VLOOKUP(A875,庫存!$A:$I,3,0),"")</f>
        <v/>
      </c>
      <c r="D875" s="54"/>
      <c r="E875" s="35" t="str">
        <f t="shared" si="26"/>
        <v/>
      </c>
      <c r="F875" s="45" t="str">
        <f>IFERROR(VLOOKUP(A875,庫存!$A:$I,4,0),"0")</f>
        <v>0</v>
      </c>
      <c r="G875" s="43" t="str">
        <f t="shared" si="27"/>
        <v/>
      </c>
      <c r="H875" s="24" t="str">
        <f>IFERROR(VLOOKUP(A875,庫存!$A:$I,8,0),"")</f>
        <v/>
      </c>
      <c r="I875" s="24" t="str">
        <f>IFERROR(VLOOKUP(A875,庫存!$A:$I,9,0),"")</f>
        <v/>
      </c>
    </row>
    <row r="876" spans="1:9" ht="23" customHeight="1" x14ac:dyDescent="0.35">
      <c r="A876" s="57"/>
      <c r="B876" s="34" t="str">
        <f>IFERROR(VLOOKUP(A876,庫存!$A:$I,2,0),"")</f>
        <v/>
      </c>
      <c r="C876" s="34" t="str">
        <f>IFERROR(VLOOKUP(A876,庫存!$A:$I,3,0),"")</f>
        <v/>
      </c>
      <c r="D876" s="54"/>
      <c r="E876" s="35" t="str">
        <f t="shared" si="26"/>
        <v/>
      </c>
      <c r="F876" s="45" t="str">
        <f>IFERROR(VLOOKUP(A876,庫存!$A:$I,4,0),"0")</f>
        <v>0</v>
      </c>
      <c r="G876" s="43" t="str">
        <f t="shared" si="27"/>
        <v/>
      </c>
      <c r="H876" s="24" t="str">
        <f>IFERROR(VLOOKUP(A876,庫存!$A:$I,8,0),"")</f>
        <v/>
      </c>
      <c r="I876" s="24" t="str">
        <f>IFERROR(VLOOKUP(A876,庫存!$A:$I,9,0),"")</f>
        <v/>
      </c>
    </row>
    <row r="877" spans="1:9" ht="23" customHeight="1" x14ac:dyDescent="0.35">
      <c r="A877" s="57"/>
      <c r="B877" s="34" t="str">
        <f>IFERROR(VLOOKUP(A877,庫存!$A:$I,2,0),"")</f>
        <v/>
      </c>
      <c r="C877" s="34" t="str">
        <f>IFERROR(VLOOKUP(A877,庫存!$A:$I,3,0),"")</f>
        <v/>
      </c>
      <c r="D877" s="54"/>
      <c r="E877" s="35" t="str">
        <f t="shared" si="26"/>
        <v/>
      </c>
      <c r="F877" s="45" t="str">
        <f>IFERROR(VLOOKUP(A877,庫存!$A:$I,4,0),"0")</f>
        <v>0</v>
      </c>
      <c r="G877" s="43" t="str">
        <f t="shared" si="27"/>
        <v/>
      </c>
      <c r="H877" s="24" t="str">
        <f>IFERROR(VLOOKUP(A877,庫存!$A:$I,8,0),"")</f>
        <v/>
      </c>
      <c r="I877" s="24" t="str">
        <f>IFERROR(VLOOKUP(A877,庫存!$A:$I,9,0),"")</f>
        <v/>
      </c>
    </row>
    <row r="878" spans="1:9" ht="23" customHeight="1" x14ac:dyDescent="0.35">
      <c r="A878" s="57"/>
      <c r="B878" s="34" t="str">
        <f>IFERROR(VLOOKUP(A878,庫存!$A:$I,2,0),"")</f>
        <v/>
      </c>
      <c r="C878" s="34" t="str">
        <f>IFERROR(VLOOKUP(A878,庫存!$A:$I,3,0),"")</f>
        <v/>
      </c>
      <c r="D878" s="54"/>
      <c r="E878" s="35" t="str">
        <f t="shared" si="26"/>
        <v/>
      </c>
      <c r="F878" s="45" t="str">
        <f>IFERROR(VLOOKUP(A878,庫存!$A:$I,4,0),"0")</f>
        <v>0</v>
      </c>
      <c r="G878" s="43" t="str">
        <f t="shared" si="27"/>
        <v/>
      </c>
      <c r="H878" s="24" t="str">
        <f>IFERROR(VLOOKUP(A878,庫存!$A:$I,8,0),"")</f>
        <v/>
      </c>
      <c r="I878" s="24" t="str">
        <f>IFERROR(VLOOKUP(A878,庫存!$A:$I,9,0),"")</f>
        <v/>
      </c>
    </row>
    <row r="879" spans="1:9" ht="23" customHeight="1" x14ac:dyDescent="0.35">
      <c r="A879" s="57"/>
      <c r="B879" s="34" t="str">
        <f>IFERROR(VLOOKUP(A879,庫存!$A:$I,2,0),"")</f>
        <v/>
      </c>
      <c r="C879" s="34" t="str">
        <f>IFERROR(VLOOKUP(A879,庫存!$A:$I,3,0),"")</f>
        <v/>
      </c>
      <c r="D879" s="54"/>
      <c r="E879" s="35" t="str">
        <f t="shared" si="26"/>
        <v/>
      </c>
      <c r="F879" s="45" t="str">
        <f>IFERROR(VLOOKUP(A879,庫存!$A:$I,4,0),"0")</f>
        <v>0</v>
      </c>
      <c r="G879" s="43" t="str">
        <f t="shared" si="27"/>
        <v/>
      </c>
      <c r="H879" s="24" t="str">
        <f>IFERROR(VLOOKUP(A879,庫存!$A:$I,8,0),"")</f>
        <v/>
      </c>
      <c r="I879" s="24" t="str">
        <f>IFERROR(VLOOKUP(A879,庫存!$A:$I,9,0),"")</f>
        <v/>
      </c>
    </row>
    <row r="880" spans="1:9" ht="23" customHeight="1" x14ac:dyDescent="0.35">
      <c r="A880" s="57"/>
      <c r="B880" s="34" t="str">
        <f>IFERROR(VLOOKUP(A880,庫存!$A:$I,2,0),"")</f>
        <v/>
      </c>
      <c r="C880" s="34" t="str">
        <f>IFERROR(VLOOKUP(A880,庫存!$A:$I,3,0),"")</f>
        <v/>
      </c>
      <c r="D880" s="54"/>
      <c r="E880" s="35" t="str">
        <f t="shared" si="26"/>
        <v/>
      </c>
      <c r="F880" s="45" t="str">
        <f>IFERROR(VLOOKUP(A880,庫存!$A:$I,4,0),"0")</f>
        <v>0</v>
      </c>
      <c r="G880" s="43" t="str">
        <f t="shared" si="27"/>
        <v/>
      </c>
      <c r="H880" s="24" t="str">
        <f>IFERROR(VLOOKUP(A880,庫存!$A:$I,8,0),"")</f>
        <v/>
      </c>
      <c r="I880" s="24" t="str">
        <f>IFERROR(VLOOKUP(A880,庫存!$A:$I,9,0),"")</f>
        <v/>
      </c>
    </row>
    <row r="881" spans="1:9" ht="23" customHeight="1" x14ac:dyDescent="0.35">
      <c r="A881" s="57"/>
      <c r="B881" s="34" t="str">
        <f>IFERROR(VLOOKUP(A881,庫存!$A:$I,2,0),"")</f>
        <v/>
      </c>
      <c r="C881" s="34" t="str">
        <f>IFERROR(VLOOKUP(A881,庫存!$A:$I,3,0),"")</f>
        <v/>
      </c>
      <c r="D881" s="54"/>
      <c r="E881" s="35" t="str">
        <f t="shared" si="26"/>
        <v/>
      </c>
      <c r="F881" s="45" t="str">
        <f>IFERROR(VLOOKUP(A881,庫存!$A:$I,4,0),"0")</f>
        <v>0</v>
      </c>
      <c r="G881" s="43" t="str">
        <f t="shared" si="27"/>
        <v/>
      </c>
      <c r="H881" s="24" t="str">
        <f>IFERROR(VLOOKUP(A881,庫存!$A:$I,8,0),"")</f>
        <v/>
      </c>
      <c r="I881" s="24" t="str">
        <f>IFERROR(VLOOKUP(A881,庫存!$A:$I,9,0),"")</f>
        <v/>
      </c>
    </row>
    <row r="882" spans="1:9" ht="23" customHeight="1" x14ac:dyDescent="0.35">
      <c r="A882" s="57"/>
      <c r="B882" s="34" t="str">
        <f>IFERROR(VLOOKUP(A882,庫存!$A:$I,2,0),"")</f>
        <v/>
      </c>
      <c r="C882" s="34" t="str">
        <f>IFERROR(VLOOKUP(A882,庫存!$A:$I,3,0),"")</f>
        <v/>
      </c>
      <c r="D882" s="54"/>
      <c r="E882" s="35" t="str">
        <f t="shared" si="26"/>
        <v/>
      </c>
      <c r="F882" s="45" t="str">
        <f>IFERROR(VLOOKUP(A882,庫存!$A:$I,4,0),"0")</f>
        <v>0</v>
      </c>
      <c r="G882" s="43" t="str">
        <f t="shared" si="27"/>
        <v/>
      </c>
      <c r="H882" s="24" t="str">
        <f>IFERROR(VLOOKUP(A882,庫存!$A:$I,8,0),"")</f>
        <v/>
      </c>
      <c r="I882" s="24" t="str">
        <f>IFERROR(VLOOKUP(A882,庫存!$A:$I,9,0),"")</f>
        <v/>
      </c>
    </row>
    <row r="883" spans="1:9" ht="23" customHeight="1" x14ac:dyDescent="0.35">
      <c r="A883" s="57"/>
      <c r="B883" s="34" t="str">
        <f>IFERROR(VLOOKUP(A883,庫存!$A:$I,2,0),"")</f>
        <v/>
      </c>
      <c r="C883" s="34" t="str">
        <f>IFERROR(VLOOKUP(A883,庫存!$A:$I,3,0),"")</f>
        <v/>
      </c>
      <c r="D883" s="54"/>
      <c r="E883" s="35" t="str">
        <f t="shared" si="26"/>
        <v/>
      </c>
      <c r="F883" s="45" t="str">
        <f>IFERROR(VLOOKUP(A883,庫存!$A:$I,4,0),"0")</f>
        <v>0</v>
      </c>
      <c r="G883" s="43" t="str">
        <f t="shared" si="27"/>
        <v/>
      </c>
      <c r="H883" s="24" t="str">
        <f>IFERROR(VLOOKUP(A883,庫存!$A:$I,8,0),"")</f>
        <v/>
      </c>
      <c r="I883" s="24" t="str">
        <f>IFERROR(VLOOKUP(A883,庫存!$A:$I,9,0),"")</f>
        <v/>
      </c>
    </row>
    <row r="884" spans="1:9" ht="23" customHeight="1" x14ac:dyDescent="0.35">
      <c r="A884" s="57"/>
      <c r="B884" s="34" t="str">
        <f>IFERROR(VLOOKUP(A884,庫存!$A:$I,2,0),"")</f>
        <v/>
      </c>
      <c r="C884" s="34" t="str">
        <f>IFERROR(VLOOKUP(A884,庫存!$A:$I,3,0),"")</f>
        <v/>
      </c>
      <c r="D884" s="54"/>
      <c r="E884" s="35" t="str">
        <f t="shared" si="26"/>
        <v/>
      </c>
      <c r="F884" s="45" t="str">
        <f>IFERROR(VLOOKUP(A884,庫存!$A:$I,4,0),"0")</f>
        <v>0</v>
      </c>
      <c r="G884" s="43" t="str">
        <f t="shared" si="27"/>
        <v/>
      </c>
      <c r="H884" s="24" t="str">
        <f>IFERROR(VLOOKUP(A884,庫存!$A:$I,8,0),"")</f>
        <v/>
      </c>
      <c r="I884" s="24" t="str">
        <f>IFERROR(VLOOKUP(A884,庫存!$A:$I,9,0),"")</f>
        <v/>
      </c>
    </row>
    <row r="885" spans="1:9" ht="23" customHeight="1" x14ac:dyDescent="0.35">
      <c r="A885" s="57"/>
      <c r="B885" s="34" t="str">
        <f>IFERROR(VLOOKUP(A885,庫存!$A:$I,2,0),"")</f>
        <v/>
      </c>
      <c r="C885" s="34" t="str">
        <f>IFERROR(VLOOKUP(A885,庫存!$A:$I,3,0),"")</f>
        <v/>
      </c>
      <c r="D885" s="54"/>
      <c r="E885" s="35" t="str">
        <f t="shared" si="26"/>
        <v/>
      </c>
      <c r="F885" s="45" t="str">
        <f>IFERROR(VLOOKUP(A885,庫存!$A:$I,4,0),"0")</f>
        <v>0</v>
      </c>
      <c r="G885" s="43" t="str">
        <f t="shared" si="27"/>
        <v/>
      </c>
      <c r="H885" s="24" t="str">
        <f>IFERROR(VLOOKUP(A885,庫存!$A:$I,8,0),"")</f>
        <v/>
      </c>
      <c r="I885" s="24" t="str">
        <f>IFERROR(VLOOKUP(A885,庫存!$A:$I,9,0),"")</f>
        <v/>
      </c>
    </row>
    <row r="886" spans="1:9" ht="23" customHeight="1" x14ac:dyDescent="0.35">
      <c r="A886" s="57"/>
      <c r="B886" s="34" t="str">
        <f>IFERROR(VLOOKUP(A886,庫存!$A:$I,2,0),"")</f>
        <v/>
      </c>
      <c r="C886" s="34" t="str">
        <f>IFERROR(VLOOKUP(A886,庫存!$A:$I,3,0),"")</f>
        <v/>
      </c>
      <c r="D886" s="54"/>
      <c r="E886" s="35" t="str">
        <f t="shared" si="26"/>
        <v/>
      </c>
      <c r="F886" s="45" t="str">
        <f>IFERROR(VLOOKUP(A886,庫存!$A:$I,4,0),"0")</f>
        <v>0</v>
      </c>
      <c r="G886" s="43" t="str">
        <f t="shared" si="27"/>
        <v/>
      </c>
      <c r="H886" s="24" t="str">
        <f>IFERROR(VLOOKUP(A886,庫存!$A:$I,8,0),"")</f>
        <v/>
      </c>
      <c r="I886" s="24" t="str">
        <f>IFERROR(VLOOKUP(A886,庫存!$A:$I,9,0),"")</f>
        <v/>
      </c>
    </row>
    <row r="887" spans="1:9" ht="23" customHeight="1" x14ac:dyDescent="0.35">
      <c r="A887" s="57"/>
      <c r="B887" s="34" t="str">
        <f>IFERROR(VLOOKUP(A887,庫存!$A:$I,2,0),"")</f>
        <v/>
      </c>
      <c r="C887" s="34" t="str">
        <f>IFERROR(VLOOKUP(A887,庫存!$A:$I,3,0),"")</f>
        <v/>
      </c>
      <c r="D887" s="54"/>
      <c r="E887" s="35" t="str">
        <f t="shared" si="26"/>
        <v/>
      </c>
      <c r="F887" s="45" t="str">
        <f>IFERROR(VLOOKUP(A887,庫存!$A:$I,4,0),"0")</f>
        <v>0</v>
      </c>
      <c r="G887" s="43" t="str">
        <f t="shared" si="27"/>
        <v/>
      </c>
      <c r="H887" s="24" t="str">
        <f>IFERROR(VLOOKUP(A887,庫存!$A:$I,8,0),"")</f>
        <v/>
      </c>
      <c r="I887" s="24" t="str">
        <f>IFERROR(VLOOKUP(A887,庫存!$A:$I,9,0),"")</f>
        <v/>
      </c>
    </row>
    <row r="888" spans="1:9" ht="23" customHeight="1" x14ac:dyDescent="0.35">
      <c r="A888" s="57"/>
      <c r="B888" s="34" t="str">
        <f>IFERROR(VLOOKUP(A888,庫存!$A:$I,2,0),"")</f>
        <v/>
      </c>
      <c r="C888" s="34" t="str">
        <f>IFERROR(VLOOKUP(A888,庫存!$A:$I,3,0),"")</f>
        <v/>
      </c>
      <c r="D888" s="54"/>
      <c r="E888" s="35" t="str">
        <f t="shared" si="26"/>
        <v/>
      </c>
      <c r="F888" s="45" t="str">
        <f>IFERROR(VLOOKUP(A888,庫存!$A:$I,4,0),"0")</f>
        <v>0</v>
      </c>
      <c r="G888" s="43" t="str">
        <f t="shared" si="27"/>
        <v/>
      </c>
      <c r="H888" s="24" t="str">
        <f>IFERROR(VLOOKUP(A888,庫存!$A:$I,8,0),"")</f>
        <v/>
      </c>
      <c r="I888" s="24" t="str">
        <f>IFERROR(VLOOKUP(A888,庫存!$A:$I,9,0),"")</f>
        <v/>
      </c>
    </row>
    <row r="889" spans="1:9" ht="23" customHeight="1" x14ac:dyDescent="0.35">
      <c r="A889" s="57"/>
      <c r="B889" s="34" t="str">
        <f>IFERROR(VLOOKUP(A889,庫存!$A:$I,2,0),"")</f>
        <v/>
      </c>
      <c r="C889" s="34" t="str">
        <f>IFERROR(VLOOKUP(A889,庫存!$A:$I,3,0),"")</f>
        <v/>
      </c>
      <c r="D889" s="54"/>
      <c r="E889" s="35" t="str">
        <f t="shared" si="26"/>
        <v/>
      </c>
      <c r="F889" s="45" t="str">
        <f>IFERROR(VLOOKUP(A889,庫存!$A:$I,4,0),"0")</f>
        <v>0</v>
      </c>
      <c r="G889" s="43" t="str">
        <f t="shared" si="27"/>
        <v/>
      </c>
      <c r="H889" s="24" t="str">
        <f>IFERROR(VLOOKUP(A889,庫存!$A:$I,8,0),"")</f>
        <v/>
      </c>
      <c r="I889" s="24" t="str">
        <f>IFERROR(VLOOKUP(A889,庫存!$A:$I,9,0),"")</f>
        <v/>
      </c>
    </row>
    <row r="890" spans="1:9" ht="23" customHeight="1" x14ac:dyDescent="0.35">
      <c r="A890" s="57"/>
      <c r="B890" s="34" t="str">
        <f>IFERROR(VLOOKUP(A890,庫存!$A:$I,2,0),"")</f>
        <v/>
      </c>
      <c r="C890" s="34" t="str">
        <f>IFERROR(VLOOKUP(A890,庫存!$A:$I,3,0),"")</f>
        <v/>
      </c>
      <c r="D890" s="54"/>
      <c r="E890" s="35" t="str">
        <f t="shared" si="26"/>
        <v/>
      </c>
      <c r="F890" s="45" t="str">
        <f>IFERROR(VLOOKUP(A890,庫存!$A:$I,4,0),"0")</f>
        <v>0</v>
      </c>
      <c r="G890" s="43" t="str">
        <f t="shared" si="27"/>
        <v/>
      </c>
      <c r="H890" s="24" t="str">
        <f>IFERROR(VLOOKUP(A890,庫存!$A:$I,8,0),"")</f>
        <v/>
      </c>
      <c r="I890" s="24" t="str">
        <f>IFERROR(VLOOKUP(A890,庫存!$A:$I,9,0),"")</f>
        <v/>
      </c>
    </row>
    <row r="891" spans="1:9" ht="23" customHeight="1" x14ac:dyDescent="0.35">
      <c r="A891" s="57"/>
      <c r="B891" s="34" t="str">
        <f>IFERROR(VLOOKUP(A891,庫存!$A:$I,2,0),"")</f>
        <v/>
      </c>
      <c r="C891" s="34" t="str">
        <f>IFERROR(VLOOKUP(A891,庫存!$A:$I,3,0),"")</f>
        <v/>
      </c>
      <c r="D891" s="54"/>
      <c r="E891" s="35" t="str">
        <f t="shared" si="26"/>
        <v/>
      </c>
      <c r="F891" s="45" t="str">
        <f>IFERROR(VLOOKUP(A891,庫存!$A:$I,4,0),"0")</f>
        <v>0</v>
      </c>
      <c r="G891" s="43" t="str">
        <f t="shared" si="27"/>
        <v/>
      </c>
      <c r="H891" s="24" t="str">
        <f>IFERROR(VLOOKUP(A891,庫存!$A:$I,8,0),"")</f>
        <v/>
      </c>
      <c r="I891" s="24" t="str">
        <f>IFERROR(VLOOKUP(A891,庫存!$A:$I,9,0),"")</f>
        <v/>
      </c>
    </row>
    <row r="892" spans="1:9" ht="23" customHeight="1" x14ac:dyDescent="0.35">
      <c r="A892" s="57"/>
      <c r="B892" s="34" t="str">
        <f>IFERROR(VLOOKUP(A892,庫存!$A:$I,2,0),"")</f>
        <v/>
      </c>
      <c r="C892" s="34" t="str">
        <f>IFERROR(VLOOKUP(A892,庫存!$A:$I,3,0),"")</f>
        <v/>
      </c>
      <c r="D892" s="54"/>
      <c r="E892" s="35" t="str">
        <f t="shared" si="26"/>
        <v/>
      </c>
      <c r="F892" s="45" t="str">
        <f>IFERROR(VLOOKUP(A892,庫存!$A:$I,4,0),"0")</f>
        <v>0</v>
      </c>
      <c r="G892" s="43" t="str">
        <f t="shared" si="27"/>
        <v/>
      </c>
      <c r="H892" s="24" t="str">
        <f>IFERROR(VLOOKUP(A892,庫存!$A:$I,8,0),"")</f>
        <v/>
      </c>
      <c r="I892" s="24" t="str">
        <f>IFERROR(VLOOKUP(A892,庫存!$A:$I,9,0),"")</f>
        <v/>
      </c>
    </row>
    <row r="893" spans="1:9" ht="23" customHeight="1" x14ac:dyDescent="0.35">
      <c r="A893" s="57"/>
      <c r="B893" s="34" t="str">
        <f>IFERROR(VLOOKUP(A893,庫存!$A:$I,2,0),"")</f>
        <v/>
      </c>
      <c r="C893" s="34" t="str">
        <f>IFERROR(VLOOKUP(A893,庫存!$A:$I,3,0),"")</f>
        <v/>
      </c>
      <c r="D893" s="54"/>
      <c r="E893" s="35" t="str">
        <f t="shared" si="26"/>
        <v/>
      </c>
      <c r="F893" s="45" t="str">
        <f>IFERROR(VLOOKUP(A893,庫存!$A:$I,4,0),"0")</f>
        <v>0</v>
      </c>
      <c r="G893" s="43" t="str">
        <f t="shared" si="27"/>
        <v/>
      </c>
      <c r="H893" s="24" t="str">
        <f>IFERROR(VLOOKUP(A893,庫存!$A:$I,8,0),"")</f>
        <v/>
      </c>
      <c r="I893" s="24" t="str">
        <f>IFERROR(VLOOKUP(A893,庫存!$A:$I,9,0),"")</f>
        <v/>
      </c>
    </row>
    <row r="894" spans="1:9" ht="23" customHeight="1" x14ac:dyDescent="0.35">
      <c r="A894" s="57"/>
      <c r="B894" s="34" t="str">
        <f>IFERROR(VLOOKUP(A894,庫存!$A:$I,2,0),"")</f>
        <v/>
      </c>
      <c r="C894" s="34" t="str">
        <f>IFERROR(VLOOKUP(A894,庫存!$A:$I,3,0),"")</f>
        <v/>
      </c>
      <c r="D894" s="54"/>
      <c r="E894" s="35" t="str">
        <f t="shared" si="26"/>
        <v/>
      </c>
      <c r="F894" s="45" t="str">
        <f>IFERROR(VLOOKUP(A894,庫存!$A:$I,4,0),"0")</f>
        <v>0</v>
      </c>
      <c r="G894" s="43" t="str">
        <f t="shared" si="27"/>
        <v/>
      </c>
      <c r="H894" s="24" t="str">
        <f>IFERROR(VLOOKUP(A894,庫存!$A:$I,8,0),"")</f>
        <v/>
      </c>
      <c r="I894" s="24" t="str">
        <f>IFERROR(VLOOKUP(A894,庫存!$A:$I,9,0),"")</f>
        <v/>
      </c>
    </row>
    <row r="895" spans="1:9" ht="23" customHeight="1" x14ac:dyDescent="0.35">
      <c r="A895" s="57"/>
      <c r="B895" s="34" t="str">
        <f>IFERROR(VLOOKUP(A895,庫存!$A:$I,2,0),"")</f>
        <v/>
      </c>
      <c r="C895" s="34" t="str">
        <f>IFERROR(VLOOKUP(A895,庫存!$A:$I,3,0),"")</f>
        <v/>
      </c>
      <c r="D895" s="54"/>
      <c r="E895" s="35" t="str">
        <f t="shared" si="26"/>
        <v/>
      </c>
      <c r="F895" s="45" t="str">
        <f>IFERROR(VLOOKUP(A895,庫存!$A:$I,4,0),"0")</f>
        <v>0</v>
      </c>
      <c r="G895" s="43" t="str">
        <f t="shared" si="27"/>
        <v/>
      </c>
      <c r="H895" s="24" t="str">
        <f>IFERROR(VLOOKUP(A895,庫存!$A:$I,8,0),"")</f>
        <v/>
      </c>
      <c r="I895" s="24" t="str">
        <f>IFERROR(VLOOKUP(A895,庫存!$A:$I,9,0),"")</f>
        <v/>
      </c>
    </row>
    <row r="896" spans="1:9" ht="23" customHeight="1" x14ac:dyDescent="0.35">
      <c r="A896" s="57"/>
      <c r="B896" s="34" t="str">
        <f>IFERROR(VLOOKUP(A896,庫存!$A:$I,2,0),"")</f>
        <v/>
      </c>
      <c r="C896" s="34" t="str">
        <f>IFERROR(VLOOKUP(A896,庫存!$A:$I,3,0),"")</f>
        <v/>
      </c>
      <c r="D896" s="54"/>
      <c r="E896" s="35" t="str">
        <f t="shared" si="26"/>
        <v/>
      </c>
      <c r="F896" s="45" t="str">
        <f>IFERROR(VLOOKUP(A896,庫存!$A:$I,4,0),"0")</f>
        <v>0</v>
      </c>
      <c r="G896" s="43" t="str">
        <f t="shared" si="27"/>
        <v/>
      </c>
      <c r="H896" s="24" t="str">
        <f>IFERROR(VLOOKUP(A896,庫存!$A:$I,8,0),"")</f>
        <v/>
      </c>
      <c r="I896" s="24" t="str">
        <f>IFERROR(VLOOKUP(A896,庫存!$A:$I,9,0),"")</f>
        <v/>
      </c>
    </row>
    <row r="897" spans="1:9" ht="23" customHeight="1" x14ac:dyDescent="0.35">
      <c r="A897" s="57"/>
      <c r="B897" s="34" t="str">
        <f>IFERROR(VLOOKUP(A897,庫存!$A:$I,2,0),"")</f>
        <v/>
      </c>
      <c r="C897" s="34" t="str">
        <f>IFERROR(VLOOKUP(A897,庫存!$A:$I,3,0),"")</f>
        <v/>
      </c>
      <c r="D897" s="54"/>
      <c r="E897" s="35" t="str">
        <f t="shared" si="26"/>
        <v/>
      </c>
      <c r="F897" s="45" t="str">
        <f>IFERROR(VLOOKUP(A897,庫存!$A:$I,4,0),"0")</f>
        <v>0</v>
      </c>
      <c r="G897" s="43" t="str">
        <f t="shared" si="27"/>
        <v/>
      </c>
      <c r="H897" s="24" t="str">
        <f>IFERROR(VLOOKUP(A897,庫存!$A:$I,8,0),"")</f>
        <v/>
      </c>
      <c r="I897" s="24" t="str">
        <f>IFERROR(VLOOKUP(A897,庫存!$A:$I,9,0),"")</f>
        <v/>
      </c>
    </row>
    <row r="898" spans="1:9" ht="23" customHeight="1" x14ac:dyDescent="0.35">
      <c r="A898" s="57"/>
      <c r="B898" s="34" t="str">
        <f>IFERROR(VLOOKUP(A898,庫存!$A:$I,2,0),"")</f>
        <v/>
      </c>
      <c r="C898" s="34" t="str">
        <f>IFERROR(VLOOKUP(A898,庫存!$A:$I,3,0),"")</f>
        <v/>
      </c>
      <c r="D898" s="54"/>
      <c r="E898" s="35" t="str">
        <f t="shared" ref="E898:E961" si="28">IF(D898*$E$1=0,"",D898*$E$1)</f>
        <v/>
      </c>
      <c r="F898" s="45" t="str">
        <f>IFERROR(VLOOKUP(A898,庫存!$A:$I,4,0),"0")</f>
        <v>0</v>
      </c>
      <c r="G898" s="43" t="str">
        <f t="shared" ref="G898:G961" si="29">IFERROR(F898-E898,"")</f>
        <v/>
      </c>
      <c r="H898" s="24" t="str">
        <f>IFERROR(VLOOKUP(A898,庫存!$A:$I,8,0),"")</f>
        <v/>
      </c>
      <c r="I898" s="24" t="str">
        <f>IFERROR(VLOOKUP(A898,庫存!$A:$I,9,0),"")</f>
        <v/>
      </c>
    </row>
    <row r="899" spans="1:9" ht="23" customHeight="1" x14ac:dyDescent="0.35">
      <c r="A899" s="57"/>
      <c r="B899" s="34" t="str">
        <f>IFERROR(VLOOKUP(A899,庫存!$A:$I,2,0),"")</f>
        <v/>
      </c>
      <c r="C899" s="34" t="str">
        <f>IFERROR(VLOOKUP(A899,庫存!$A:$I,3,0),"")</f>
        <v/>
      </c>
      <c r="D899" s="54"/>
      <c r="E899" s="35" t="str">
        <f t="shared" si="28"/>
        <v/>
      </c>
      <c r="F899" s="45" t="str">
        <f>IFERROR(VLOOKUP(A899,庫存!$A:$I,4,0),"0")</f>
        <v>0</v>
      </c>
      <c r="G899" s="43" t="str">
        <f t="shared" si="29"/>
        <v/>
      </c>
      <c r="H899" s="24" t="str">
        <f>IFERROR(VLOOKUP(A899,庫存!$A:$I,8,0),"")</f>
        <v/>
      </c>
      <c r="I899" s="24" t="str">
        <f>IFERROR(VLOOKUP(A899,庫存!$A:$I,9,0),"")</f>
        <v/>
      </c>
    </row>
    <row r="900" spans="1:9" ht="23" customHeight="1" x14ac:dyDescent="0.35">
      <c r="A900" s="57"/>
      <c r="B900" s="34" t="str">
        <f>IFERROR(VLOOKUP(A900,庫存!$A:$I,2,0),"")</f>
        <v/>
      </c>
      <c r="C900" s="34" t="str">
        <f>IFERROR(VLOOKUP(A900,庫存!$A:$I,3,0),"")</f>
        <v/>
      </c>
      <c r="D900" s="54"/>
      <c r="E900" s="35" t="str">
        <f t="shared" si="28"/>
        <v/>
      </c>
      <c r="F900" s="45" t="str">
        <f>IFERROR(VLOOKUP(A900,庫存!$A:$I,4,0),"0")</f>
        <v>0</v>
      </c>
      <c r="G900" s="43" t="str">
        <f t="shared" si="29"/>
        <v/>
      </c>
      <c r="H900" s="24" t="str">
        <f>IFERROR(VLOOKUP(A900,庫存!$A:$I,8,0),"")</f>
        <v/>
      </c>
      <c r="I900" s="24" t="str">
        <f>IFERROR(VLOOKUP(A900,庫存!$A:$I,9,0),"")</f>
        <v/>
      </c>
    </row>
    <row r="901" spans="1:9" ht="23" customHeight="1" x14ac:dyDescent="0.35">
      <c r="A901" s="57"/>
      <c r="B901" s="34" t="str">
        <f>IFERROR(VLOOKUP(A901,庫存!$A:$I,2,0),"")</f>
        <v/>
      </c>
      <c r="C901" s="34" t="str">
        <f>IFERROR(VLOOKUP(A901,庫存!$A:$I,3,0),"")</f>
        <v/>
      </c>
      <c r="D901" s="54"/>
      <c r="E901" s="35" t="str">
        <f t="shared" si="28"/>
        <v/>
      </c>
      <c r="F901" s="45" t="str">
        <f>IFERROR(VLOOKUP(A901,庫存!$A:$I,4,0),"0")</f>
        <v>0</v>
      </c>
      <c r="G901" s="43" t="str">
        <f t="shared" si="29"/>
        <v/>
      </c>
      <c r="H901" s="24" t="str">
        <f>IFERROR(VLOOKUP(A901,庫存!$A:$I,8,0),"")</f>
        <v/>
      </c>
      <c r="I901" s="24" t="str">
        <f>IFERROR(VLOOKUP(A901,庫存!$A:$I,9,0),"")</f>
        <v/>
      </c>
    </row>
    <row r="902" spans="1:9" ht="23" customHeight="1" x14ac:dyDescent="0.35">
      <c r="A902" s="57"/>
      <c r="B902" s="34" t="str">
        <f>IFERROR(VLOOKUP(A902,庫存!$A:$I,2,0),"")</f>
        <v/>
      </c>
      <c r="C902" s="34" t="str">
        <f>IFERROR(VLOOKUP(A902,庫存!$A:$I,3,0),"")</f>
        <v/>
      </c>
      <c r="D902" s="54"/>
      <c r="E902" s="35" t="str">
        <f t="shared" si="28"/>
        <v/>
      </c>
      <c r="F902" s="45" t="str">
        <f>IFERROR(VLOOKUP(A902,庫存!$A:$I,4,0),"0")</f>
        <v>0</v>
      </c>
      <c r="G902" s="43" t="str">
        <f t="shared" si="29"/>
        <v/>
      </c>
      <c r="H902" s="24" t="str">
        <f>IFERROR(VLOOKUP(A902,庫存!$A:$I,8,0),"")</f>
        <v/>
      </c>
      <c r="I902" s="24" t="str">
        <f>IFERROR(VLOOKUP(A902,庫存!$A:$I,9,0),"")</f>
        <v/>
      </c>
    </row>
    <row r="903" spans="1:9" ht="23" customHeight="1" x14ac:dyDescent="0.35">
      <c r="A903" s="57"/>
      <c r="B903" s="34" t="str">
        <f>IFERROR(VLOOKUP(A903,庫存!$A:$I,2,0),"")</f>
        <v/>
      </c>
      <c r="C903" s="34" t="str">
        <f>IFERROR(VLOOKUP(A903,庫存!$A:$I,3,0),"")</f>
        <v/>
      </c>
      <c r="D903" s="54"/>
      <c r="E903" s="35" t="str">
        <f t="shared" si="28"/>
        <v/>
      </c>
      <c r="F903" s="45" t="str">
        <f>IFERROR(VLOOKUP(A903,庫存!$A:$I,4,0),"0")</f>
        <v>0</v>
      </c>
      <c r="G903" s="43" t="str">
        <f t="shared" si="29"/>
        <v/>
      </c>
      <c r="H903" s="24" t="str">
        <f>IFERROR(VLOOKUP(A903,庫存!$A:$I,8,0),"")</f>
        <v/>
      </c>
      <c r="I903" s="24" t="str">
        <f>IFERROR(VLOOKUP(A903,庫存!$A:$I,9,0),"")</f>
        <v/>
      </c>
    </row>
    <row r="904" spans="1:9" ht="23" customHeight="1" x14ac:dyDescent="0.35">
      <c r="A904" s="57"/>
      <c r="B904" s="34" t="str">
        <f>IFERROR(VLOOKUP(A904,庫存!$A:$I,2,0),"")</f>
        <v/>
      </c>
      <c r="C904" s="34" t="str">
        <f>IFERROR(VLOOKUP(A904,庫存!$A:$I,3,0),"")</f>
        <v/>
      </c>
      <c r="D904" s="54"/>
      <c r="E904" s="35" t="str">
        <f t="shared" si="28"/>
        <v/>
      </c>
      <c r="F904" s="45" t="str">
        <f>IFERROR(VLOOKUP(A904,庫存!$A:$I,4,0),"0")</f>
        <v>0</v>
      </c>
      <c r="G904" s="43" t="str">
        <f t="shared" si="29"/>
        <v/>
      </c>
      <c r="H904" s="24" t="str">
        <f>IFERROR(VLOOKUP(A904,庫存!$A:$I,8,0),"")</f>
        <v/>
      </c>
      <c r="I904" s="24" t="str">
        <f>IFERROR(VLOOKUP(A904,庫存!$A:$I,9,0),"")</f>
        <v/>
      </c>
    </row>
    <row r="905" spans="1:9" ht="23" customHeight="1" x14ac:dyDescent="0.35">
      <c r="A905" s="57"/>
      <c r="B905" s="34" t="str">
        <f>IFERROR(VLOOKUP(A905,庫存!$A:$I,2,0),"")</f>
        <v/>
      </c>
      <c r="C905" s="34" t="str">
        <f>IFERROR(VLOOKUP(A905,庫存!$A:$I,3,0),"")</f>
        <v/>
      </c>
      <c r="D905" s="54"/>
      <c r="E905" s="35" t="str">
        <f t="shared" si="28"/>
        <v/>
      </c>
      <c r="F905" s="45" t="str">
        <f>IFERROR(VLOOKUP(A905,庫存!$A:$I,4,0),"0")</f>
        <v>0</v>
      </c>
      <c r="G905" s="43" t="str">
        <f t="shared" si="29"/>
        <v/>
      </c>
      <c r="H905" s="24" t="str">
        <f>IFERROR(VLOOKUP(A905,庫存!$A:$I,8,0),"")</f>
        <v/>
      </c>
      <c r="I905" s="24" t="str">
        <f>IFERROR(VLOOKUP(A905,庫存!$A:$I,9,0),"")</f>
        <v/>
      </c>
    </row>
    <row r="906" spans="1:9" ht="23" customHeight="1" x14ac:dyDescent="0.35">
      <c r="A906" s="57"/>
      <c r="B906" s="34" t="str">
        <f>IFERROR(VLOOKUP(A906,庫存!$A:$I,2,0),"")</f>
        <v/>
      </c>
      <c r="C906" s="34" t="str">
        <f>IFERROR(VLOOKUP(A906,庫存!$A:$I,3,0),"")</f>
        <v/>
      </c>
      <c r="D906" s="54"/>
      <c r="E906" s="35" t="str">
        <f t="shared" si="28"/>
        <v/>
      </c>
      <c r="F906" s="45" t="str">
        <f>IFERROR(VLOOKUP(A906,庫存!$A:$I,4,0),"0")</f>
        <v>0</v>
      </c>
      <c r="G906" s="43" t="str">
        <f t="shared" si="29"/>
        <v/>
      </c>
      <c r="H906" s="24" t="str">
        <f>IFERROR(VLOOKUP(A906,庫存!$A:$I,8,0),"")</f>
        <v/>
      </c>
      <c r="I906" s="24" t="str">
        <f>IFERROR(VLOOKUP(A906,庫存!$A:$I,9,0),"")</f>
        <v/>
      </c>
    </row>
    <row r="907" spans="1:9" ht="23" customHeight="1" x14ac:dyDescent="0.35">
      <c r="A907" s="57"/>
      <c r="B907" s="34" t="str">
        <f>IFERROR(VLOOKUP(A907,庫存!$A:$I,2,0),"")</f>
        <v/>
      </c>
      <c r="C907" s="34" t="str">
        <f>IFERROR(VLOOKUP(A907,庫存!$A:$I,3,0),"")</f>
        <v/>
      </c>
      <c r="D907" s="54"/>
      <c r="E907" s="35" t="str">
        <f t="shared" si="28"/>
        <v/>
      </c>
      <c r="F907" s="45" t="str">
        <f>IFERROR(VLOOKUP(A907,庫存!$A:$I,4,0),"0")</f>
        <v>0</v>
      </c>
      <c r="G907" s="43" t="str">
        <f t="shared" si="29"/>
        <v/>
      </c>
      <c r="H907" s="24" t="str">
        <f>IFERROR(VLOOKUP(A907,庫存!$A:$I,8,0),"")</f>
        <v/>
      </c>
      <c r="I907" s="24" t="str">
        <f>IFERROR(VLOOKUP(A907,庫存!$A:$I,9,0),"")</f>
        <v/>
      </c>
    </row>
    <row r="908" spans="1:9" ht="23" customHeight="1" x14ac:dyDescent="0.35">
      <c r="A908" s="57"/>
      <c r="B908" s="34" t="str">
        <f>IFERROR(VLOOKUP(A908,庫存!$A:$I,2,0),"")</f>
        <v/>
      </c>
      <c r="C908" s="34" t="str">
        <f>IFERROR(VLOOKUP(A908,庫存!$A:$I,3,0),"")</f>
        <v/>
      </c>
      <c r="D908" s="54"/>
      <c r="E908" s="35" t="str">
        <f t="shared" si="28"/>
        <v/>
      </c>
      <c r="F908" s="45" t="str">
        <f>IFERROR(VLOOKUP(A908,庫存!$A:$I,4,0),"0")</f>
        <v>0</v>
      </c>
      <c r="G908" s="43" t="str">
        <f t="shared" si="29"/>
        <v/>
      </c>
      <c r="H908" s="24" t="str">
        <f>IFERROR(VLOOKUP(A908,庫存!$A:$I,8,0),"")</f>
        <v/>
      </c>
      <c r="I908" s="24" t="str">
        <f>IFERROR(VLOOKUP(A908,庫存!$A:$I,9,0),"")</f>
        <v/>
      </c>
    </row>
    <row r="909" spans="1:9" ht="23" customHeight="1" x14ac:dyDescent="0.35">
      <c r="A909" s="57"/>
      <c r="B909" s="34" t="str">
        <f>IFERROR(VLOOKUP(A909,庫存!$A:$I,2,0),"")</f>
        <v/>
      </c>
      <c r="C909" s="34" t="str">
        <f>IFERROR(VLOOKUP(A909,庫存!$A:$I,3,0),"")</f>
        <v/>
      </c>
      <c r="D909" s="54"/>
      <c r="E909" s="35" t="str">
        <f t="shared" si="28"/>
        <v/>
      </c>
      <c r="F909" s="45" t="str">
        <f>IFERROR(VLOOKUP(A909,庫存!$A:$I,4,0),"0")</f>
        <v>0</v>
      </c>
      <c r="G909" s="43" t="str">
        <f t="shared" si="29"/>
        <v/>
      </c>
      <c r="H909" s="24" t="str">
        <f>IFERROR(VLOOKUP(A909,庫存!$A:$I,8,0),"")</f>
        <v/>
      </c>
      <c r="I909" s="24" t="str">
        <f>IFERROR(VLOOKUP(A909,庫存!$A:$I,9,0),"")</f>
        <v/>
      </c>
    </row>
    <row r="910" spans="1:9" ht="23" customHeight="1" x14ac:dyDescent="0.35">
      <c r="A910" s="57"/>
      <c r="B910" s="34" t="str">
        <f>IFERROR(VLOOKUP(A910,庫存!$A:$I,2,0),"")</f>
        <v/>
      </c>
      <c r="C910" s="34" t="str">
        <f>IFERROR(VLOOKUP(A910,庫存!$A:$I,3,0),"")</f>
        <v/>
      </c>
      <c r="D910" s="54"/>
      <c r="E910" s="35" t="str">
        <f t="shared" si="28"/>
        <v/>
      </c>
      <c r="F910" s="45" t="str">
        <f>IFERROR(VLOOKUP(A910,庫存!$A:$I,4,0),"0")</f>
        <v>0</v>
      </c>
      <c r="G910" s="43" t="str">
        <f t="shared" si="29"/>
        <v/>
      </c>
      <c r="H910" s="24" t="str">
        <f>IFERROR(VLOOKUP(A910,庫存!$A:$I,8,0),"")</f>
        <v/>
      </c>
      <c r="I910" s="24" t="str">
        <f>IFERROR(VLOOKUP(A910,庫存!$A:$I,9,0),"")</f>
        <v/>
      </c>
    </row>
    <row r="911" spans="1:9" ht="23" customHeight="1" x14ac:dyDescent="0.35">
      <c r="A911" s="57"/>
      <c r="B911" s="34" t="str">
        <f>IFERROR(VLOOKUP(A911,庫存!$A:$I,2,0),"")</f>
        <v/>
      </c>
      <c r="C911" s="34" t="str">
        <f>IFERROR(VLOOKUP(A911,庫存!$A:$I,3,0),"")</f>
        <v/>
      </c>
      <c r="D911" s="54"/>
      <c r="E911" s="35" t="str">
        <f t="shared" si="28"/>
        <v/>
      </c>
      <c r="F911" s="45" t="str">
        <f>IFERROR(VLOOKUP(A911,庫存!$A:$I,4,0),"0")</f>
        <v>0</v>
      </c>
      <c r="G911" s="43" t="str">
        <f t="shared" si="29"/>
        <v/>
      </c>
      <c r="H911" s="24" t="str">
        <f>IFERROR(VLOOKUP(A911,庫存!$A:$I,8,0),"")</f>
        <v/>
      </c>
      <c r="I911" s="24" t="str">
        <f>IFERROR(VLOOKUP(A911,庫存!$A:$I,9,0),"")</f>
        <v/>
      </c>
    </row>
    <row r="912" spans="1:9" ht="23" customHeight="1" x14ac:dyDescent="0.35">
      <c r="A912" s="57"/>
      <c r="B912" s="34" t="str">
        <f>IFERROR(VLOOKUP(A912,庫存!$A:$I,2,0),"")</f>
        <v/>
      </c>
      <c r="C912" s="34" t="str">
        <f>IFERROR(VLOOKUP(A912,庫存!$A:$I,3,0),"")</f>
        <v/>
      </c>
      <c r="D912" s="54"/>
      <c r="E912" s="35" t="str">
        <f t="shared" si="28"/>
        <v/>
      </c>
      <c r="F912" s="45" t="str">
        <f>IFERROR(VLOOKUP(A912,庫存!$A:$I,4,0),"0")</f>
        <v>0</v>
      </c>
      <c r="G912" s="43" t="str">
        <f t="shared" si="29"/>
        <v/>
      </c>
      <c r="H912" s="24" t="str">
        <f>IFERROR(VLOOKUP(A912,庫存!$A:$I,8,0),"")</f>
        <v/>
      </c>
      <c r="I912" s="24" t="str">
        <f>IFERROR(VLOOKUP(A912,庫存!$A:$I,9,0),"")</f>
        <v/>
      </c>
    </row>
    <row r="913" spans="1:9" ht="23" customHeight="1" x14ac:dyDescent="0.35">
      <c r="A913" s="57"/>
      <c r="B913" s="34" t="str">
        <f>IFERROR(VLOOKUP(A913,庫存!$A:$I,2,0),"")</f>
        <v/>
      </c>
      <c r="C913" s="34" t="str">
        <f>IFERROR(VLOOKUP(A913,庫存!$A:$I,3,0),"")</f>
        <v/>
      </c>
      <c r="D913" s="54"/>
      <c r="E913" s="35" t="str">
        <f t="shared" si="28"/>
        <v/>
      </c>
      <c r="F913" s="45" t="str">
        <f>IFERROR(VLOOKUP(A913,庫存!$A:$I,4,0),"0")</f>
        <v>0</v>
      </c>
      <c r="G913" s="43" t="str">
        <f t="shared" si="29"/>
        <v/>
      </c>
      <c r="H913" s="24" t="str">
        <f>IFERROR(VLOOKUP(A913,庫存!$A:$I,8,0),"")</f>
        <v/>
      </c>
      <c r="I913" s="24" t="str">
        <f>IFERROR(VLOOKUP(A913,庫存!$A:$I,9,0),"")</f>
        <v/>
      </c>
    </row>
    <row r="914" spans="1:9" ht="23" customHeight="1" x14ac:dyDescent="0.35">
      <c r="A914" s="57"/>
      <c r="B914" s="34" t="str">
        <f>IFERROR(VLOOKUP(A914,庫存!$A:$I,2,0),"")</f>
        <v/>
      </c>
      <c r="C914" s="34" t="str">
        <f>IFERROR(VLOOKUP(A914,庫存!$A:$I,3,0),"")</f>
        <v/>
      </c>
      <c r="D914" s="54"/>
      <c r="E914" s="35" t="str">
        <f t="shared" si="28"/>
        <v/>
      </c>
      <c r="F914" s="45" t="str">
        <f>IFERROR(VLOOKUP(A914,庫存!$A:$I,4,0),"0")</f>
        <v>0</v>
      </c>
      <c r="G914" s="43" t="str">
        <f t="shared" si="29"/>
        <v/>
      </c>
      <c r="H914" s="24" t="str">
        <f>IFERROR(VLOOKUP(A914,庫存!$A:$I,8,0),"")</f>
        <v/>
      </c>
      <c r="I914" s="24" t="str">
        <f>IFERROR(VLOOKUP(A914,庫存!$A:$I,9,0),"")</f>
        <v/>
      </c>
    </row>
    <row r="915" spans="1:9" ht="23" customHeight="1" x14ac:dyDescent="0.35">
      <c r="A915" s="57"/>
      <c r="B915" s="34" t="str">
        <f>IFERROR(VLOOKUP(A915,庫存!$A:$I,2,0),"")</f>
        <v/>
      </c>
      <c r="C915" s="34" t="str">
        <f>IFERROR(VLOOKUP(A915,庫存!$A:$I,3,0),"")</f>
        <v/>
      </c>
      <c r="D915" s="54"/>
      <c r="E915" s="35" t="str">
        <f t="shared" si="28"/>
        <v/>
      </c>
      <c r="F915" s="45" t="str">
        <f>IFERROR(VLOOKUP(A915,庫存!$A:$I,4,0),"0")</f>
        <v>0</v>
      </c>
      <c r="G915" s="43" t="str">
        <f t="shared" si="29"/>
        <v/>
      </c>
      <c r="H915" s="24" t="str">
        <f>IFERROR(VLOOKUP(A915,庫存!$A:$I,8,0),"")</f>
        <v/>
      </c>
      <c r="I915" s="24" t="str">
        <f>IFERROR(VLOOKUP(A915,庫存!$A:$I,9,0),"")</f>
        <v/>
      </c>
    </row>
    <row r="916" spans="1:9" ht="23" customHeight="1" x14ac:dyDescent="0.35">
      <c r="A916" s="57"/>
      <c r="B916" s="34" t="str">
        <f>IFERROR(VLOOKUP(A916,庫存!$A:$I,2,0),"")</f>
        <v/>
      </c>
      <c r="C916" s="34" t="str">
        <f>IFERROR(VLOOKUP(A916,庫存!$A:$I,3,0),"")</f>
        <v/>
      </c>
      <c r="D916" s="54"/>
      <c r="E916" s="35" t="str">
        <f t="shared" si="28"/>
        <v/>
      </c>
      <c r="F916" s="45" t="str">
        <f>IFERROR(VLOOKUP(A916,庫存!$A:$I,4,0),"0")</f>
        <v>0</v>
      </c>
      <c r="G916" s="43" t="str">
        <f t="shared" si="29"/>
        <v/>
      </c>
      <c r="H916" s="24" t="str">
        <f>IFERROR(VLOOKUP(A916,庫存!$A:$I,8,0),"")</f>
        <v/>
      </c>
      <c r="I916" s="24" t="str">
        <f>IFERROR(VLOOKUP(A916,庫存!$A:$I,9,0),"")</f>
        <v/>
      </c>
    </row>
    <row r="917" spans="1:9" ht="23" customHeight="1" x14ac:dyDescent="0.35">
      <c r="A917" s="57"/>
      <c r="B917" s="34" t="str">
        <f>IFERROR(VLOOKUP(A917,庫存!$A:$I,2,0),"")</f>
        <v/>
      </c>
      <c r="C917" s="34" t="str">
        <f>IFERROR(VLOOKUP(A917,庫存!$A:$I,3,0),"")</f>
        <v/>
      </c>
      <c r="D917" s="54"/>
      <c r="E917" s="35" t="str">
        <f t="shared" si="28"/>
        <v/>
      </c>
      <c r="F917" s="45" t="str">
        <f>IFERROR(VLOOKUP(A917,庫存!$A:$I,4,0),"0")</f>
        <v>0</v>
      </c>
      <c r="G917" s="43" t="str">
        <f t="shared" si="29"/>
        <v/>
      </c>
      <c r="H917" s="24" t="str">
        <f>IFERROR(VLOOKUP(A917,庫存!$A:$I,8,0),"")</f>
        <v/>
      </c>
      <c r="I917" s="24" t="str">
        <f>IFERROR(VLOOKUP(A917,庫存!$A:$I,9,0),"")</f>
        <v/>
      </c>
    </row>
    <row r="918" spans="1:9" ht="23" customHeight="1" x14ac:dyDescent="0.35">
      <c r="A918" s="57"/>
      <c r="B918" s="34" t="str">
        <f>IFERROR(VLOOKUP(A918,庫存!$A:$I,2,0),"")</f>
        <v/>
      </c>
      <c r="C918" s="34" t="str">
        <f>IFERROR(VLOOKUP(A918,庫存!$A:$I,3,0),"")</f>
        <v/>
      </c>
      <c r="D918" s="54"/>
      <c r="E918" s="35" t="str">
        <f t="shared" si="28"/>
        <v/>
      </c>
      <c r="F918" s="45" t="str">
        <f>IFERROR(VLOOKUP(A918,庫存!$A:$I,4,0),"0")</f>
        <v>0</v>
      </c>
      <c r="G918" s="43" t="str">
        <f t="shared" si="29"/>
        <v/>
      </c>
      <c r="H918" s="24" t="str">
        <f>IFERROR(VLOOKUP(A918,庫存!$A:$I,8,0),"")</f>
        <v/>
      </c>
      <c r="I918" s="24" t="str">
        <f>IFERROR(VLOOKUP(A918,庫存!$A:$I,9,0),"")</f>
        <v/>
      </c>
    </row>
    <row r="919" spans="1:9" ht="23" customHeight="1" x14ac:dyDescent="0.35">
      <c r="A919" s="57"/>
      <c r="B919" s="34" t="str">
        <f>IFERROR(VLOOKUP(A919,庫存!$A:$I,2,0),"")</f>
        <v/>
      </c>
      <c r="C919" s="34" t="str">
        <f>IFERROR(VLOOKUP(A919,庫存!$A:$I,3,0),"")</f>
        <v/>
      </c>
      <c r="D919" s="54"/>
      <c r="E919" s="35" t="str">
        <f t="shared" si="28"/>
        <v/>
      </c>
      <c r="F919" s="45" t="str">
        <f>IFERROR(VLOOKUP(A919,庫存!$A:$I,4,0),"0")</f>
        <v>0</v>
      </c>
      <c r="G919" s="43" t="str">
        <f t="shared" si="29"/>
        <v/>
      </c>
      <c r="H919" s="24" t="str">
        <f>IFERROR(VLOOKUP(A919,庫存!$A:$I,8,0),"")</f>
        <v/>
      </c>
      <c r="I919" s="24" t="str">
        <f>IFERROR(VLOOKUP(A919,庫存!$A:$I,9,0),"")</f>
        <v/>
      </c>
    </row>
    <row r="920" spans="1:9" ht="23" customHeight="1" x14ac:dyDescent="0.35">
      <c r="A920" s="57"/>
      <c r="B920" s="34" t="str">
        <f>IFERROR(VLOOKUP(A920,庫存!$A:$I,2,0),"")</f>
        <v/>
      </c>
      <c r="C920" s="34" t="str">
        <f>IFERROR(VLOOKUP(A920,庫存!$A:$I,3,0),"")</f>
        <v/>
      </c>
      <c r="D920" s="54"/>
      <c r="E920" s="35" t="str">
        <f t="shared" si="28"/>
        <v/>
      </c>
      <c r="F920" s="45" t="str">
        <f>IFERROR(VLOOKUP(A920,庫存!$A:$I,4,0),"0")</f>
        <v>0</v>
      </c>
      <c r="G920" s="43" t="str">
        <f t="shared" si="29"/>
        <v/>
      </c>
      <c r="H920" s="24" t="str">
        <f>IFERROR(VLOOKUP(A920,庫存!$A:$I,8,0),"")</f>
        <v/>
      </c>
      <c r="I920" s="24" t="str">
        <f>IFERROR(VLOOKUP(A920,庫存!$A:$I,9,0),"")</f>
        <v/>
      </c>
    </row>
    <row r="921" spans="1:9" ht="23" customHeight="1" x14ac:dyDescent="0.35">
      <c r="A921" s="57"/>
      <c r="B921" s="34" t="str">
        <f>IFERROR(VLOOKUP(A921,庫存!$A:$I,2,0),"")</f>
        <v/>
      </c>
      <c r="C921" s="34" t="str">
        <f>IFERROR(VLOOKUP(A921,庫存!$A:$I,3,0),"")</f>
        <v/>
      </c>
      <c r="D921" s="54"/>
      <c r="E921" s="35" t="str">
        <f t="shared" si="28"/>
        <v/>
      </c>
      <c r="F921" s="45" t="str">
        <f>IFERROR(VLOOKUP(A921,庫存!$A:$I,4,0),"0")</f>
        <v>0</v>
      </c>
      <c r="G921" s="43" t="str">
        <f t="shared" si="29"/>
        <v/>
      </c>
      <c r="H921" s="24" t="str">
        <f>IFERROR(VLOOKUP(A921,庫存!$A:$I,8,0),"")</f>
        <v/>
      </c>
      <c r="I921" s="24" t="str">
        <f>IFERROR(VLOOKUP(A921,庫存!$A:$I,9,0),"")</f>
        <v/>
      </c>
    </row>
    <row r="922" spans="1:9" ht="23" customHeight="1" x14ac:dyDescent="0.35">
      <c r="A922" s="57"/>
      <c r="B922" s="34" t="str">
        <f>IFERROR(VLOOKUP(A922,庫存!$A:$I,2,0),"")</f>
        <v/>
      </c>
      <c r="C922" s="34" t="str">
        <f>IFERROR(VLOOKUP(A922,庫存!$A:$I,3,0),"")</f>
        <v/>
      </c>
      <c r="D922" s="54"/>
      <c r="E922" s="35" t="str">
        <f t="shared" si="28"/>
        <v/>
      </c>
      <c r="F922" s="45" t="str">
        <f>IFERROR(VLOOKUP(A922,庫存!$A:$I,4,0),"0")</f>
        <v>0</v>
      </c>
      <c r="G922" s="43" t="str">
        <f t="shared" si="29"/>
        <v/>
      </c>
      <c r="H922" s="24" t="str">
        <f>IFERROR(VLOOKUP(A922,庫存!$A:$I,8,0),"")</f>
        <v/>
      </c>
      <c r="I922" s="24" t="str">
        <f>IFERROR(VLOOKUP(A922,庫存!$A:$I,9,0),"")</f>
        <v/>
      </c>
    </row>
    <row r="923" spans="1:9" ht="23" customHeight="1" x14ac:dyDescent="0.35">
      <c r="A923" s="57"/>
      <c r="B923" s="34" t="str">
        <f>IFERROR(VLOOKUP(A923,庫存!$A:$I,2,0),"")</f>
        <v/>
      </c>
      <c r="C923" s="34" t="str">
        <f>IFERROR(VLOOKUP(A923,庫存!$A:$I,3,0),"")</f>
        <v/>
      </c>
      <c r="D923" s="54"/>
      <c r="E923" s="35" t="str">
        <f t="shared" si="28"/>
        <v/>
      </c>
      <c r="F923" s="45" t="str">
        <f>IFERROR(VLOOKUP(A923,庫存!$A:$I,4,0),"0")</f>
        <v>0</v>
      </c>
      <c r="G923" s="43" t="str">
        <f t="shared" si="29"/>
        <v/>
      </c>
      <c r="H923" s="24" t="str">
        <f>IFERROR(VLOOKUP(A923,庫存!$A:$I,8,0),"")</f>
        <v/>
      </c>
      <c r="I923" s="24" t="str">
        <f>IFERROR(VLOOKUP(A923,庫存!$A:$I,9,0),"")</f>
        <v/>
      </c>
    </row>
    <row r="924" spans="1:9" ht="23" customHeight="1" x14ac:dyDescent="0.35">
      <c r="A924" s="57"/>
      <c r="B924" s="34" t="str">
        <f>IFERROR(VLOOKUP(A924,庫存!$A:$I,2,0),"")</f>
        <v/>
      </c>
      <c r="C924" s="34" t="str">
        <f>IFERROR(VLOOKUP(A924,庫存!$A:$I,3,0),"")</f>
        <v/>
      </c>
      <c r="D924" s="54"/>
      <c r="E924" s="35" t="str">
        <f t="shared" si="28"/>
        <v/>
      </c>
      <c r="F924" s="45" t="str">
        <f>IFERROR(VLOOKUP(A924,庫存!$A:$I,4,0),"0")</f>
        <v>0</v>
      </c>
      <c r="G924" s="43" t="str">
        <f t="shared" si="29"/>
        <v/>
      </c>
      <c r="H924" s="24" t="str">
        <f>IFERROR(VLOOKUP(A924,庫存!$A:$I,8,0),"")</f>
        <v/>
      </c>
      <c r="I924" s="24" t="str">
        <f>IFERROR(VLOOKUP(A924,庫存!$A:$I,9,0),"")</f>
        <v/>
      </c>
    </row>
    <row r="925" spans="1:9" ht="23" customHeight="1" x14ac:dyDescent="0.35">
      <c r="A925" s="57"/>
      <c r="B925" s="34" t="str">
        <f>IFERROR(VLOOKUP(A925,庫存!$A:$I,2,0),"")</f>
        <v/>
      </c>
      <c r="C925" s="34" t="str">
        <f>IFERROR(VLOOKUP(A925,庫存!$A:$I,3,0),"")</f>
        <v/>
      </c>
      <c r="D925" s="54"/>
      <c r="E925" s="35" t="str">
        <f t="shared" si="28"/>
        <v/>
      </c>
      <c r="F925" s="45" t="str">
        <f>IFERROR(VLOOKUP(A925,庫存!$A:$I,4,0),"0")</f>
        <v>0</v>
      </c>
      <c r="G925" s="43" t="str">
        <f t="shared" si="29"/>
        <v/>
      </c>
      <c r="H925" s="24" t="str">
        <f>IFERROR(VLOOKUP(A925,庫存!$A:$I,8,0),"")</f>
        <v/>
      </c>
      <c r="I925" s="24" t="str">
        <f>IFERROR(VLOOKUP(A925,庫存!$A:$I,9,0),"")</f>
        <v/>
      </c>
    </row>
    <row r="926" spans="1:9" ht="23" customHeight="1" x14ac:dyDescent="0.35">
      <c r="A926" s="57"/>
      <c r="B926" s="34" t="str">
        <f>IFERROR(VLOOKUP(A926,庫存!$A:$I,2,0),"")</f>
        <v/>
      </c>
      <c r="C926" s="34" t="str">
        <f>IFERROR(VLOOKUP(A926,庫存!$A:$I,3,0),"")</f>
        <v/>
      </c>
      <c r="D926" s="54"/>
      <c r="E926" s="35" t="str">
        <f t="shared" si="28"/>
        <v/>
      </c>
      <c r="F926" s="45" t="str">
        <f>IFERROR(VLOOKUP(A926,庫存!$A:$I,4,0),"0")</f>
        <v>0</v>
      </c>
      <c r="G926" s="43" t="str">
        <f t="shared" si="29"/>
        <v/>
      </c>
      <c r="H926" s="24" t="str">
        <f>IFERROR(VLOOKUP(A926,庫存!$A:$I,8,0),"")</f>
        <v/>
      </c>
      <c r="I926" s="24" t="str">
        <f>IFERROR(VLOOKUP(A926,庫存!$A:$I,9,0),"")</f>
        <v/>
      </c>
    </row>
    <row r="927" spans="1:9" ht="23" customHeight="1" x14ac:dyDescent="0.35">
      <c r="A927" s="57"/>
      <c r="B927" s="34" t="str">
        <f>IFERROR(VLOOKUP(A927,庫存!$A:$I,2,0),"")</f>
        <v/>
      </c>
      <c r="C927" s="34" t="str">
        <f>IFERROR(VLOOKUP(A927,庫存!$A:$I,3,0),"")</f>
        <v/>
      </c>
      <c r="D927" s="54"/>
      <c r="E927" s="35" t="str">
        <f t="shared" si="28"/>
        <v/>
      </c>
      <c r="F927" s="45" t="str">
        <f>IFERROR(VLOOKUP(A927,庫存!$A:$I,4,0),"0")</f>
        <v>0</v>
      </c>
      <c r="G927" s="43" t="str">
        <f t="shared" si="29"/>
        <v/>
      </c>
      <c r="H927" s="24" t="str">
        <f>IFERROR(VLOOKUP(A927,庫存!$A:$I,8,0),"")</f>
        <v/>
      </c>
      <c r="I927" s="24" t="str">
        <f>IFERROR(VLOOKUP(A927,庫存!$A:$I,9,0),"")</f>
        <v/>
      </c>
    </row>
    <row r="928" spans="1:9" ht="23" customHeight="1" x14ac:dyDescent="0.35">
      <c r="A928" s="57"/>
      <c r="B928" s="34" t="str">
        <f>IFERROR(VLOOKUP(A928,庫存!$A:$I,2,0),"")</f>
        <v/>
      </c>
      <c r="C928" s="34" t="str">
        <f>IFERROR(VLOOKUP(A928,庫存!$A:$I,3,0),"")</f>
        <v/>
      </c>
      <c r="D928" s="54"/>
      <c r="E928" s="35" t="str">
        <f t="shared" si="28"/>
        <v/>
      </c>
      <c r="F928" s="45" t="str">
        <f>IFERROR(VLOOKUP(A928,庫存!$A:$I,4,0),"0")</f>
        <v>0</v>
      </c>
      <c r="G928" s="43" t="str">
        <f t="shared" si="29"/>
        <v/>
      </c>
      <c r="H928" s="24" t="str">
        <f>IFERROR(VLOOKUP(A928,庫存!$A:$I,8,0),"")</f>
        <v/>
      </c>
      <c r="I928" s="24" t="str">
        <f>IFERROR(VLOOKUP(A928,庫存!$A:$I,9,0),"")</f>
        <v/>
      </c>
    </row>
    <row r="929" spans="1:9" ht="23" customHeight="1" x14ac:dyDescent="0.35">
      <c r="A929" s="57"/>
      <c r="B929" s="34" t="str">
        <f>IFERROR(VLOOKUP(A929,庫存!$A:$I,2,0),"")</f>
        <v/>
      </c>
      <c r="C929" s="34" t="str">
        <f>IFERROR(VLOOKUP(A929,庫存!$A:$I,3,0),"")</f>
        <v/>
      </c>
      <c r="D929" s="54"/>
      <c r="E929" s="35" t="str">
        <f t="shared" si="28"/>
        <v/>
      </c>
      <c r="F929" s="45" t="str">
        <f>IFERROR(VLOOKUP(A929,庫存!$A:$I,4,0),"0")</f>
        <v>0</v>
      </c>
      <c r="G929" s="43" t="str">
        <f t="shared" si="29"/>
        <v/>
      </c>
      <c r="H929" s="24" t="str">
        <f>IFERROR(VLOOKUP(A929,庫存!$A:$I,8,0),"")</f>
        <v/>
      </c>
      <c r="I929" s="24" t="str">
        <f>IFERROR(VLOOKUP(A929,庫存!$A:$I,9,0),"")</f>
        <v/>
      </c>
    </row>
    <row r="930" spans="1:9" ht="23" customHeight="1" x14ac:dyDescent="0.35">
      <c r="A930" s="57"/>
      <c r="B930" s="34" t="str">
        <f>IFERROR(VLOOKUP(A930,庫存!$A:$I,2,0),"")</f>
        <v/>
      </c>
      <c r="C930" s="34" t="str">
        <f>IFERROR(VLOOKUP(A930,庫存!$A:$I,3,0),"")</f>
        <v/>
      </c>
      <c r="D930" s="54"/>
      <c r="E930" s="35" t="str">
        <f t="shared" si="28"/>
        <v/>
      </c>
      <c r="F930" s="45" t="str">
        <f>IFERROR(VLOOKUP(A930,庫存!$A:$I,4,0),"0")</f>
        <v>0</v>
      </c>
      <c r="G930" s="43" t="str">
        <f t="shared" si="29"/>
        <v/>
      </c>
      <c r="H930" s="24" t="str">
        <f>IFERROR(VLOOKUP(A930,庫存!$A:$I,8,0),"")</f>
        <v/>
      </c>
      <c r="I930" s="24" t="str">
        <f>IFERROR(VLOOKUP(A930,庫存!$A:$I,9,0),"")</f>
        <v/>
      </c>
    </row>
    <row r="931" spans="1:9" ht="23" customHeight="1" x14ac:dyDescent="0.35">
      <c r="A931" s="57"/>
      <c r="B931" s="34" t="str">
        <f>IFERROR(VLOOKUP(A931,庫存!$A:$I,2,0),"")</f>
        <v/>
      </c>
      <c r="C931" s="34" t="str">
        <f>IFERROR(VLOOKUP(A931,庫存!$A:$I,3,0),"")</f>
        <v/>
      </c>
      <c r="D931" s="54"/>
      <c r="E931" s="35" t="str">
        <f t="shared" si="28"/>
        <v/>
      </c>
      <c r="F931" s="45" t="str">
        <f>IFERROR(VLOOKUP(A931,庫存!$A:$I,4,0),"0")</f>
        <v>0</v>
      </c>
      <c r="G931" s="43" t="str">
        <f t="shared" si="29"/>
        <v/>
      </c>
      <c r="H931" s="24" t="str">
        <f>IFERROR(VLOOKUP(A931,庫存!$A:$I,8,0),"")</f>
        <v/>
      </c>
      <c r="I931" s="24" t="str">
        <f>IFERROR(VLOOKUP(A931,庫存!$A:$I,9,0),"")</f>
        <v/>
      </c>
    </row>
    <row r="932" spans="1:9" ht="23" customHeight="1" x14ac:dyDescent="0.35">
      <c r="A932" s="57"/>
      <c r="B932" s="34" t="str">
        <f>IFERROR(VLOOKUP(A932,庫存!$A:$I,2,0),"")</f>
        <v/>
      </c>
      <c r="C932" s="34" t="str">
        <f>IFERROR(VLOOKUP(A932,庫存!$A:$I,3,0),"")</f>
        <v/>
      </c>
      <c r="D932" s="54"/>
      <c r="E932" s="35" t="str">
        <f t="shared" si="28"/>
        <v/>
      </c>
      <c r="F932" s="45" t="str">
        <f>IFERROR(VLOOKUP(A932,庫存!$A:$I,4,0),"0")</f>
        <v>0</v>
      </c>
      <c r="G932" s="43" t="str">
        <f t="shared" si="29"/>
        <v/>
      </c>
      <c r="H932" s="24" t="str">
        <f>IFERROR(VLOOKUP(A932,庫存!$A:$I,8,0),"")</f>
        <v/>
      </c>
      <c r="I932" s="24" t="str">
        <f>IFERROR(VLOOKUP(A932,庫存!$A:$I,9,0),"")</f>
        <v/>
      </c>
    </row>
    <row r="933" spans="1:9" ht="23" customHeight="1" x14ac:dyDescent="0.35">
      <c r="A933" s="57"/>
      <c r="B933" s="34" t="str">
        <f>IFERROR(VLOOKUP(A933,庫存!$A:$I,2,0),"")</f>
        <v/>
      </c>
      <c r="C933" s="34" t="str">
        <f>IFERROR(VLOOKUP(A933,庫存!$A:$I,3,0),"")</f>
        <v/>
      </c>
      <c r="D933" s="54"/>
      <c r="E933" s="35" t="str">
        <f t="shared" si="28"/>
        <v/>
      </c>
      <c r="F933" s="45" t="str">
        <f>IFERROR(VLOOKUP(A933,庫存!$A:$I,4,0),"0")</f>
        <v>0</v>
      </c>
      <c r="G933" s="43" t="str">
        <f t="shared" si="29"/>
        <v/>
      </c>
      <c r="H933" s="24" t="str">
        <f>IFERROR(VLOOKUP(A933,庫存!$A:$I,8,0),"")</f>
        <v/>
      </c>
      <c r="I933" s="24" t="str">
        <f>IFERROR(VLOOKUP(A933,庫存!$A:$I,9,0),"")</f>
        <v/>
      </c>
    </row>
    <row r="934" spans="1:9" ht="23" customHeight="1" x14ac:dyDescent="0.35">
      <c r="A934" s="57"/>
      <c r="B934" s="34" t="str">
        <f>IFERROR(VLOOKUP(A934,庫存!$A:$I,2,0),"")</f>
        <v/>
      </c>
      <c r="C934" s="34" t="str">
        <f>IFERROR(VLOOKUP(A934,庫存!$A:$I,3,0),"")</f>
        <v/>
      </c>
      <c r="D934" s="54"/>
      <c r="E934" s="35" t="str">
        <f t="shared" si="28"/>
        <v/>
      </c>
      <c r="F934" s="45" t="str">
        <f>IFERROR(VLOOKUP(A934,庫存!$A:$I,4,0),"0")</f>
        <v>0</v>
      </c>
      <c r="G934" s="43" t="str">
        <f t="shared" si="29"/>
        <v/>
      </c>
      <c r="H934" s="24" t="str">
        <f>IFERROR(VLOOKUP(A934,庫存!$A:$I,8,0),"")</f>
        <v/>
      </c>
      <c r="I934" s="24" t="str">
        <f>IFERROR(VLOOKUP(A934,庫存!$A:$I,9,0),"")</f>
        <v/>
      </c>
    </row>
    <row r="935" spans="1:9" ht="23" customHeight="1" x14ac:dyDescent="0.35">
      <c r="A935" s="57"/>
      <c r="B935" s="34" t="str">
        <f>IFERROR(VLOOKUP(A935,庫存!$A:$I,2,0),"")</f>
        <v/>
      </c>
      <c r="C935" s="34" t="str">
        <f>IFERROR(VLOOKUP(A935,庫存!$A:$I,3,0),"")</f>
        <v/>
      </c>
      <c r="D935" s="54"/>
      <c r="E935" s="35" t="str">
        <f t="shared" si="28"/>
        <v/>
      </c>
      <c r="F935" s="45" t="str">
        <f>IFERROR(VLOOKUP(A935,庫存!$A:$I,4,0),"0")</f>
        <v>0</v>
      </c>
      <c r="G935" s="43" t="str">
        <f t="shared" si="29"/>
        <v/>
      </c>
      <c r="H935" s="24" t="str">
        <f>IFERROR(VLOOKUP(A935,庫存!$A:$I,8,0),"")</f>
        <v/>
      </c>
      <c r="I935" s="24" t="str">
        <f>IFERROR(VLOOKUP(A935,庫存!$A:$I,9,0),"")</f>
        <v/>
      </c>
    </row>
    <row r="936" spans="1:9" ht="23" customHeight="1" x14ac:dyDescent="0.35">
      <c r="A936" s="57"/>
      <c r="B936" s="34" t="str">
        <f>IFERROR(VLOOKUP(A936,庫存!$A:$I,2,0),"")</f>
        <v/>
      </c>
      <c r="C936" s="34" t="str">
        <f>IFERROR(VLOOKUP(A936,庫存!$A:$I,3,0),"")</f>
        <v/>
      </c>
      <c r="D936" s="54"/>
      <c r="E936" s="35" t="str">
        <f t="shared" si="28"/>
        <v/>
      </c>
      <c r="F936" s="45" t="str">
        <f>IFERROR(VLOOKUP(A936,庫存!$A:$I,4,0),"0")</f>
        <v>0</v>
      </c>
      <c r="G936" s="43" t="str">
        <f t="shared" si="29"/>
        <v/>
      </c>
      <c r="H936" s="24" t="str">
        <f>IFERROR(VLOOKUP(A936,庫存!$A:$I,8,0),"")</f>
        <v/>
      </c>
      <c r="I936" s="24" t="str">
        <f>IFERROR(VLOOKUP(A936,庫存!$A:$I,9,0),"")</f>
        <v/>
      </c>
    </row>
    <row r="937" spans="1:9" ht="23" customHeight="1" x14ac:dyDescent="0.35">
      <c r="A937" s="57"/>
      <c r="B937" s="34" t="str">
        <f>IFERROR(VLOOKUP(A937,庫存!$A:$I,2,0),"")</f>
        <v/>
      </c>
      <c r="C937" s="34" t="str">
        <f>IFERROR(VLOOKUP(A937,庫存!$A:$I,3,0),"")</f>
        <v/>
      </c>
      <c r="D937" s="54"/>
      <c r="E937" s="35" t="str">
        <f t="shared" si="28"/>
        <v/>
      </c>
      <c r="F937" s="45" t="str">
        <f>IFERROR(VLOOKUP(A937,庫存!$A:$I,4,0),"0")</f>
        <v>0</v>
      </c>
      <c r="G937" s="43" t="str">
        <f t="shared" si="29"/>
        <v/>
      </c>
      <c r="H937" s="24" t="str">
        <f>IFERROR(VLOOKUP(A937,庫存!$A:$I,8,0),"")</f>
        <v/>
      </c>
      <c r="I937" s="24" t="str">
        <f>IFERROR(VLOOKUP(A937,庫存!$A:$I,9,0),"")</f>
        <v/>
      </c>
    </row>
    <row r="938" spans="1:9" ht="23" customHeight="1" x14ac:dyDescent="0.35">
      <c r="A938" s="57"/>
      <c r="B938" s="34" t="str">
        <f>IFERROR(VLOOKUP(A938,庫存!$A:$I,2,0),"")</f>
        <v/>
      </c>
      <c r="C938" s="34" t="str">
        <f>IFERROR(VLOOKUP(A938,庫存!$A:$I,3,0),"")</f>
        <v/>
      </c>
      <c r="D938" s="54"/>
      <c r="E938" s="35" t="str">
        <f t="shared" si="28"/>
        <v/>
      </c>
      <c r="F938" s="45" t="str">
        <f>IFERROR(VLOOKUP(A938,庫存!$A:$I,4,0),"0")</f>
        <v>0</v>
      </c>
      <c r="G938" s="43" t="str">
        <f t="shared" si="29"/>
        <v/>
      </c>
      <c r="H938" s="24" t="str">
        <f>IFERROR(VLOOKUP(A938,庫存!$A:$I,8,0),"")</f>
        <v/>
      </c>
      <c r="I938" s="24" t="str">
        <f>IFERROR(VLOOKUP(A938,庫存!$A:$I,9,0),"")</f>
        <v/>
      </c>
    </row>
    <row r="939" spans="1:9" ht="23" customHeight="1" x14ac:dyDescent="0.35">
      <c r="A939" s="57"/>
      <c r="B939" s="34" t="str">
        <f>IFERROR(VLOOKUP(A939,庫存!$A:$I,2,0),"")</f>
        <v/>
      </c>
      <c r="C939" s="34" t="str">
        <f>IFERROR(VLOOKUP(A939,庫存!$A:$I,3,0),"")</f>
        <v/>
      </c>
      <c r="D939" s="54"/>
      <c r="E939" s="35" t="str">
        <f t="shared" si="28"/>
        <v/>
      </c>
      <c r="F939" s="45" t="str">
        <f>IFERROR(VLOOKUP(A939,庫存!$A:$I,4,0),"0")</f>
        <v>0</v>
      </c>
      <c r="G939" s="43" t="str">
        <f t="shared" si="29"/>
        <v/>
      </c>
      <c r="H939" s="24" t="str">
        <f>IFERROR(VLOOKUP(A939,庫存!$A:$I,8,0),"")</f>
        <v/>
      </c>
      <c r="I939" s="24" t="str">
        <f>IFERROR(VLOOKUP(A939,庫存!$A:$I,9,0),"")</f>
        <v/>
      </c>
    </row>
    <row r="940" spans="1:9" ht="23" customHeight="1" x14ac:dyDescent="0.35">
      <c r="A940" s="57"/>
      <c r="B940" s="34" t="str">
        <f>IFERROR(VLOOKUP(A940,庫存!$A:$I,2,0),"")</f>
        <v/>
      </c>
      <c r="C940" s="34" t="str">
        <f>IFERROR(VLOOKUP(A940,庫存!$A:$I,3,0),"")</f>
        <v/>
      </c>
      <c r="D940" s="54"/>
      <c r="E940" s="35" t="str">
        <f t="shared" si="28"/>
        <v/>
      </c>
      <c r="F940" s="45" t="str">
        <f>IFERROR(VLOOKUP(A940,庫存!$A:$I,4,0),"0")</f>
        <v>0</v>
      </c>
      <c r="G940" s="43" t="str">
        <f t="shared" si="29"/>
        <v/>
      </c>
      <c r="H940" s="24" t="str">
        <f>IFERROR(VLOOKUP(A940,庫存!$A:$I,8,0),"")</f>
        <v/>
      </c>
      <c r="I940" s="24" t="str">
        <f>IFERROR(VLOOKUP(A940,庫存!$A:$I,9,0),"")</f>
        <v/>
      </c>
    </row>
    <row r="941" spans="1:9" ht="23" customHeight="1" x14ac:dyDescent="0.35">
      <c r="A941" s="57"/>
      <c r="B941" s="34" t="str">
        <f>IFERROR(VLOOKUP(A941,庫存!$A:$I,2,0),"")</f>
        <v/>
      </c>
      <c r="C941" s="34" t="str">
        <f>IFERROR(VLOOKUP(A941,庫存!$A:$I,3,0),"")</f>
        <v/>
      </c>
      <c r="D941" s="54"/>
      <c r="E941" s="35" t="str">
        <f t="shared" si="28"/>
        <v/>
      </c>
      <c r="F941" s="45" t="str">
        <f>IFERROR(VLOOKUP(A941,庫存!$A:$I,4,0),"0")</f>
        <v>0</v>
      </c>
      <c r="G941" s="43" t="str">
        <f t="shared" si="29"/>
        <v/>
      </c>
      <c r="H941" s="24" t="str">
        <f>IFERROR(VLOOKUP(A941,庫存!$A:$I,8,0),"")</f>
        <v/>
      </c>
      <c r="I941" s="24" t="str">
        <f>IFERROR(VLOOKUP(A941,庫存!$A:$I,9,0),"")</f>
        <v/>
      </c>
    </row>
    <row r="942" spans="1:9" ht="23" customHeight="1" x14ac:dyDescent="0.35">
      <c r="A942" s="57"/>
      <c r="B942" s="34" t="str">
        <f>IFERROR(VLOOKUP(A942,庫存!$A:$I,2,0),"")</f>
        <v/>
      </c>
      <c r="C942" s="34" t="str">
        <f>IFERROR(VLOOKUP(A942,庫存!$A:$I,3,0),"")</f>
        <v/>
      </c>
      <c r="D942" s="54"/>
      <c r="E942" s="35" t="str">
        <f t="shared" si="28"/>
        <v/>
      </c>
      <c r="F942" s="45" t="str">
        <f>IFERROR(VLOOKUP(A942,庫存!$A:$I,4,0),"0")</f>
        <v>0</v>
      </c>
      <c r="G942" s="43" t="str">
        <f t="shared" si="29"/>
        <v/>
      </c>
      <c r="H942" s="24" t="str">
        <f>IFERROR(VLOOKUP(A942,庫存!$A:$I,8,0),"")</f>
        <v/>
      </c>
      <c r="I942" s="24" t="str">
        <f>IFERROR(VLOOKUP(A942,庫存!$A:$I,9,0),"")</f>
        <v/>
      </c>
    </row>
    <row r="943" spans="1:9" ht="23" customHeight="1" x14ac:dyDescent="0.35">
      <c r="A943" s="57"/>
      <c r="B943" s="34" t="str">
        <f>IFERROR(VLOOKUP(A943,庫存!$A:$I,2,0),"")</f>
        <v/>
      </c>
      <c r="C943" s="34" t="str">
        <f>IFERROR(VLOOKUP(A943,庫存!$A:$I,3,0),"")</f>
        <v/>
      </c>
      <c r="D943" s="54"/>
      <c r="E943" s="35" t="str">
        <f t="shared" si="28"/>
        <v/>
      </c>
      <c r="F943" s="45" t="str">
        <f>IFERROR(VLOOKUP(A943,庫存!$A:$I,4,0),"0")</f>
        <v>0</v>
      </c>
      <c r="G943" s="43" t="str">
        <f t="shared" si="29"/>
        <v/>
      </c>
      <c r="H943" s="24" t="str">
        <f>IFERROR(VLOOKUP(A943,庫存!$A:$I,8,0),"")</f>
        <v/>
      </c>
      <c r="I943" s="24" t="str">
        <f>IFERROR(VLOOKUP(A943,庫存!$A:$I,9,0),"")</f>
        <v/>
      </c>
    </row>
    <row r="944" spans="1:9" ht="23" customHeight="1" x14ac:dyDescent="0.35">
      <c r="A944" s="57"/>
      <c r="B944" s="34" t="str">
        <f>IFERROR(VLOOKUP(A944,庫存!$A:$I,2,0),"")</f>
        <v/>
      </c>
      <c r="C944" s="34" t="str">
        <f>IFERROR(VLOOKUP(A944,庫存!$A:$I,3,0),"")</f>
        <v/>
      </c>
      <c r="D944" s="54"/>
      <c r="E944" s="35" t="str">
        <f t="shared" si="28"/>
        <v/>
      </c>
      <c r="F944" s="45" t="str">
        <f>IFERROR(VLOOKUP(A944,庫存!$A:$I,4,0),"0")</f>
        <v>0</v>
      </c>
      <c r="G944" s="43" t="str">
        <f t="shared" si="29"/>
        <v/>
      </c>
      <c r="H944" s="24" t="str">
        <f>IFERROR(VLOOKUP(A944,庫存!$A:$I,8,0),"")</f>
        <v/>
      </c>
      <c r="I944" s="24" t="str">
        <f>IFERROR(VLOOKUP(A944,庫存!$A:$I,9,0),"")</f>
        <v/>
      </c>
    </row>
    <row r="945" spans="1:9" ht="23" customHeight="1" x14ac:dyDescent="0.35">
      <c r="A945" s="57"/>
      <c r="B945" s="34" t="str">
        <f>IFERROR(VLOOKUP(A945,庫存!$A:$I,2,0),"")</f>
        <v/>
      </c>
      <c r="C945" s="34" t="str">
        <f>IFERROR(VLOOKUP(A945,庫存!$A:$I,3,0),"")</f>
        <v/>
      </c>
      <c r="D945" s="54"/>
      <c r="E945" s="35" t="str">
        <f t="shared" si="28"/>
        <v/>
      </c>
      <c r="F945" s="45" t="str">
        <f>IFERROR(VLOOKUP(A945,庫存!$A:$I,4,0),"0")</f>
        <v>0</v>
      </c>
      <c r="G945" s="43" t="str">
        <f t="shared" si="29"/>
        <v/>
      </c>
      <c r="H945" s="24" t="str">
        <f>IFERROR(VLOOKUP(A945,庫存!$A:$I,8,0),"")</f>
        <v/>
      </c>
      <c r="I945" s="24" t="str">
        <f>IFERROR(VLOOKUP(A945,庫存!$A:$I,9,0),"")</f>
        <v/>
      </c>
    </row>
    <row r="946" spans="1:9" ht="23" customHeight="1" x14ac:dyDescent="0.35">
      <c r="A946" s="57"/>
      <c r="B946" s="34" t="str">
        <f>IFERROR(VLOOKUP(A946,庫存!$A:$I,2,0),"")</f>
        <v/>
      </c>
      <c r="C946" s="34" t="str">
        <f>IFERROR(VLOOKUP(A946,庫存!$A:$I,3,0),"")</f>
        <v/>
      </c>
      <c r="D946" s="54"/>
      <c r="E946" s="35" t="str">
        <f t="shared" si="28"/>
        <v/>
      </c>
      <c r="F946" s="45" t="str">
        <f>IFERROR(VLOOKUP(A946,庫存!$A:$I,4,0),"0")</f>
        <v>0</v>
      </c>
      <c r="G946" s="43" t="str">
        <f t="shared" si="29"/>
        <v/>
      </c>
      <c r="H946" s="24" t="str">
        <f>IFERROR(VLOOKUP(A946,庫存!$A:$I,8,0),"")</f>
        <v/>
      </c>
      <c r="I946" s="24" t="str">
        <f>IFERROR(VLOOKUP(A946,庫存!$A:$I,9,0),"")</f>
        <v/>
      </c>
    </row>
    <row r="947" spans="1:9" ht="23" customHeight="1" x14ac:dyDescent="0.35">
      <c r="A947" s="57"/>
      <c r="B947" s="34" t="str">
        <f>IFERROR(VLOOKUP(A947,庫存!$A:$I,2,0),"")</f>
        <v/>
      </c>
      <c r="C947" s="34" t="str">
        <f>IFERROR(VLOOKUP(A947,庫存!$A:$I,3,0),"")</f>
        <v/>
      </c>
      <c r="D947" s="54"/>
      <c r="E947" s="35" t="str">
        <f t="shared" si="28"/>
        <v/>
      </c>
      <c r="F947" s="45" t="str">
        <f>IFERROR(VLOOKUP(A947,庫存!$A:$I,4,0),"0")</f>
        <v>0</v>
      </c>
      <c r="G947" s="43" t="str">
        <f t="shared" si="29"/>
        <v/>
      </c>
      <c r="H947" s="24" t="str">
        <f>IFERROR(VLOOKUP(A947,庫存!$A:$I,8,0),"")</f>
        <v/>
      </c>
      <c r="I947" s="24" t="str">
        <f>IFERROR(VLOOKUP(A947,庫存!$A:$I,9,0),"")</f>
        <v/>
      </c>
    </row>
    <row r="948" spans="1:9" ht="23" customHeight="1" x14ac:dyDescent="0.35">
      <c r="A948" s="57"/>
      <c r="B948" s="34" t="str">
        <f>IFERROR(VLOOKUP(A948,庫存!$A:$I,2,0),"")</f>
        <v/>
      </c>
      <c r="C948" s="34" t="str">
        <f>IFERROR(VLOOKUP(A948,庫存!$A:$I,3,0),"")</f>
        <v/>
      </c>
      <c r="D948" s="54"/>
      <c r="E948" s="35" t="str">
        <f t="shared" si="28"/>
        <v/>
      </c>
      <c r="F948" s="45" t="str">
        <f>IFERROR(VLOOKUP(A948,庫存!$A:$I,4,0),"0")</f>
        <v>0</v>
      </c>
      <c r="G948" s="43" t="str">
        <f t="shared" si="29"/>
        <v/>
      </c>
      <c r="H948" s="24" t="str">
        <f>IFERROR(VLOOKUP(A948,庫存!$A:$I,8,0),"")</f>
        <v/>
      </c>
      <c r="I948" s="24" t="str">
        <f>IFERROR(VLOOKUP(A948,庫存!$A:$I,9,0),"")</f>
        <v/>
      </c>
    </row>
    <row r="949" spans="1:9" ht="23" customHeight="1" x14ac:dyDescent="0.35">
      <c r="A949" s="57"/>
      <c r="B949" s="34" t="str">
        <f>IFERROR(VLOOKUP(A949,庫存!$A:$I,2,0),"")</f>
        <v/>
      </c>
      <c r="C949" s="34" t="str">
        <f>IFERROR(VLOOKUP(A949,庫存!$A:$I,3,0),"")</f>
        <v/>
      </c>
      <c r="D949" s="54"/>
      <c r="E949" s="35" t="str">
        <f t="shared" si="28"/>
        <v/>
      </c>
      <c r="F949" s="45" t="str">
        <f>IFERROR(VLOOKUP(A949,庫存!$A:$I,4,0),"0")</f>
        <v>0</v>
      </c>
      <c r="G949" s="43" t="str">
        <f t="shared" si="29"/>
        <v/>
      </c>
      <c r="H949" s="24" t="str">
        <f>IFERROR(VLOOKUP(A949,庫存!$A:$I,8,0),"")</f>
        <v/>
      </c>
      <c r="I949" s="24" t="str">
        <f>IFERROR(VLOOKUP(A949,庫存!$A:$I,9,0),"")</f>
        <v/>
      </c>
    </row>
    <row r="950" spans="1:9" ht="23" customHeight="1" x14ac:dyDescent="0.35">
      <c r="A950" s="57"/>
      <c r="B950" s="34" t="str">
        <f>IFERROR(VLOOKUP(A950,庫存!$A:$I,2,0),"")</f>
        <v/>
      </c>
      <c r="C950" s="34" t="str">
        <f>IFERROR(VLOOKUP(A950,庫存!$A:$I,3,0),"")</f>
        <v/>
      </c>
      <c r="D950" s="54"/>
      <c r="E950" s="35" t="str">
        <f t="shared" si="28"/>
        <v/>
      </c>
      <c r="F950" s="45" t="str">
        <f>IFERROR(VLOOKUP(A950,庫存!$A:$I,4,0),"0")</f>
        <v>0</v>
      </c>
      <c r="G950" s="43" t="str">
        <f t="shared" si="29"/>
        <v/>
      </c>
      <c r="H950" s="24" t="str">
        <f>IFERROR(VLOOKUP(A950,庫存!$A:$I,8,0),"")</f>
        <v/>
      </c>
      <c r="I950" s="24" t="str">
        <f>IFERROR(VLOOKUP(A950,庫存!$A:$I,9,0),"")</f>
        <v/>
      </c>
    </row>
    <row r="951" spans="1:9" ht="23" customHeight="1" x14ac:dyDescent="0.35">
      <c r="A951" s="57"/>
      <c r="B951" s="34" t="str">
        <f>IFERROR(VLOOKUP(A951,庫存!$A:$I,2,0),"")</f>
        <v/>
      </c>
      <c r="C951" s="34" t="str">
        <f>IFERROR(VLOOKUP(A951,庫存!$A:$I,3,0),"")</f>
        <v/>
      </c>
      <c r="D951" s="54"/>
      <c r="E951" s="35" t="str">
        <f t="shared" si="28"/>
        <v/>
      </c>
      <c r="F951" s="45" t="str">
        <f>IFERROR(VLOOKUP(A951,庫存!$A:$I,4,0),"0")</f>
        <v>0</v>
      </c>
      <c r="G951" s="43" t="str">
        <f t="shared" si="29"/>
        <v/>
      </c>
      <c r="H951" s="24" t="str">
        <f>IFERROR(VLOOKUP(A951,庫存!$A:$I,8,0),"")</f>
        <v/>
      </c>
      <c r="I951" s="24" t="str">
        <f>IFERROR(VLOOKUP(A951,庫存!$A:$I,9,0),"")</f>
        <v/>
      </c>
    </row>
    <row r="952" spans="1:9" ht="23" customHeight="1" x14ac:dyDescent="0.35">
      <c r="A952" s="57"/>
      <c r="B952" s="34" t="str">
        <f>IFERROR(VLOOKUP(A952,庫存!$A:$I,2,0),"")</f>
        <v/>
      </c>
      <c r="C952" s="34" t="str">
        <f>IFERROR(VLOOKUP(A952,庫存!$A:$I,3,0),"")</f>
        <v/>
      </c>
      <c r="D952" s="54"/>
      <c r="E952" s="35" t="str">
        <f t="shared" si="28"/>
        <v/>
      </c>
      <c r="F952" s="45" t="str">
        <f>IFERROR(VLOOKUP(A952,庫存!$A:$I,4,0),"0")</f>
        <v>0</v>
      </c>
      <c r="G952" s="43" t="str">
        <f t="shared" si="29"/>
        <v/>
      </c>
      <c r="H952" s="24" t="str">
        <f>IFERROR(VLOOKUP(A952,庫存!$A:$I,8,0),"")</f>
        <v/>
      </c>
      <c r="I952" s="24" t="str">
        <f>IFERROR(VLOOKUP(A952,庫存!$A:$I,9,0),"")</f>
        <v/>
      </c>
    </row>
    <row r="953" spans="1:9" ht="23" customHeight="1" x14ac:dyDescent="0.35">
      <c r="A953" s="57"/>
      <c r="B953" s="34" t="str">
        <f>IFERROR(VLOOKUP(A953,庫存!$A:$I,2,0),"")</f>
        <v/>
      </c>
      <c r="C953" s="34" t="str">
        <f>IFERROR(VLOOKUP(A953,庫存!$A:$I,3,0),"")</f>
        <v/>
      </c>
      <c r="D953" s="54"/>
      <c r="E953" s="35" t="str">
        <f t="shared" si="28"/>
        <v/>
      </c>
      <c r="F953" s="45" t="str">
        <f>IFERROR(VLOOKUP(A953,庫存!$A:$I,4,0),"0")</f>
        <v>0</v>
      </c>
      <c r="G953" s="43" t="str">
        <f t="shared" si="29"/>
        <v/>
      </c>
      <c r="H953" s="24" t="str">
        <f>IFERROR(VLOOKUP(A953,庫存!$A:$I,8,0),"")</f>
        <v/>
      </c>
      <c r="I953" s="24" t="str">
        <f>IFERROR(VLOOKUP(A953,庫存!$A:$I,9,0),"")</f>
        <v/>
      </c>
    </row>
    <row r="954" spans="1:9" ht="23" customHeight="1" x14ac:dyDescent="0.35">
      <c r="A954" s="57"/>
      <c r="B954" s="34" t="str">
        <f>IFERROR(VLOOKUP(A954,庫存!$A:$I,2,0),"")</f>
        <v/>
      </c>
      <c r="C954" s="34" t="str">
        <f>IFERROR(VLOOKUP(A954,庫存!$A:$I,3,0),"")</f>
        <v/>
      </c>
      <c r="D954" s="54"/>
      <c r="E954" s="35" t="str">
        <f t="shared" si="28"/>
        <v/>
      </c>
      <c r="F954" s="45" t="str">
        <f>IFERROR(VLOOKUP(A954,庫存!$A:$I,4,0),"0")</f>
        <v>0</v>
      </c>
      <c r="G954" s="43" t="str">
        <f t="shared" si="29"/>
        <v/>
      </c>
      <c r="H954" s="24" t="str">
        <f>IFERROR(VLOOKUP(A954,庫存!$A:$I,8,0),"")</f>
        <v/>
      </c>
      <c r="I954" s="24" t="str">
        <f>IFERROR(VLOOKUP(A954,庫存!$A:$I,9,0),"")</f>
        <v/>
      </c>
    </row>
    <row r="955" spans="1:9" ht="23" customHeight="1" x14ac:dyDescent="0.35">
      <c r="A955" s="57"/>
      <c r="B955" s="34" t="str">
        <f>IFERROR(VLOOKUP(A955,庫存!$A:$I,2,0),"")</f>
        <v/>
      </c>
      <c r="C955" s="34" t="str">
        <f>IFERROR(VLOOKUP(A955,庫存!$A:$I,3,0),"")</f>
        <v/>
      </c>
      <c r="D955" s="54"/>
      <c r="E955" s="35" t="str">
        <f t="shared" si="28"/>
        <v/>
      </c>
      <c r="F955" s="45" t="str">
        <f>IFERROR(VLOOKUP(A955,庫存!$A:$I,4,0),"0")</f>
        <v>0</v>
      </c>
      <c r="G955" s="43" t="str">
        <f t="shared" si="29"/>
        <v/>
      </c>
      <c r="H955" s="24" t="str">
        <f>IFERROR(VLOOKUP(A955,庫存!$A:$I,8,0),"")</f>
        <v/>
      </c>
      <c r="I955" s="24" t="str">
        <f>IFERROR(VLOOKUP(A955,庫存!$A:$I,9,0),"")</f>
        <v/>
      </c>
    </row>
    <row r="956" spans="1:9" ht="23" customHeight="1" x14ac:dyDescent="0.35">
      <c r="A956" s="57"/>
      <c r="B956" s="34" t="str">
        <f>IFERROR(VLOOKUP(A956,庫存!$A:$I,2,0),"")</f>
        <v/>
      </c>
      <c r="C956" s="34" t="str">
        <f>IFERROR(VLOOKUP(A956,庫存!$A:$I,3,0),"")</f>
        <v/>
      </c>
      <c r="D956" s="54"/>
      <c r="E956" s="35" t="str">
        <f t="shared" si="28"/>
        <v/>
      </c>
      <c r="F956" s="45" t="str">
        <f>IFERROR(VLOOKUP(A956,庫存!$A:$I,4,0),"0")</f>
        <v>0</v>
      </c>
      <c r="G956" s="43" t="str">
        <f t="shared" si="29"/>
        <v/>
      </c>
      <c r="H956" s="24" t="str">
        <f>IFERROR(VLOOKUP(A956,庫存!$A:$I,8,0),"")</f>
        <v/>
      </c>
      <c r="I956" s="24" t="str">
        <f>IFERROR(VLOOKUP(A956,庫存!$A:$I,9,0),"")</f>
        <v/>
      </c>
    </row>
    <row r="957" spans="1:9" ht="23" customHeight="1" x14ac:dyDescent="0.35">
      <c r="A957" s="57"/>
      <c r="B957" s="34" t="str">
        <f>IFERROR(VLOOKUP(A957,庫存!$A:$I,2,0),"")</f>
        <v/>
      </c>
      <c r="C957" s="34" t="str">
        <f>IFERROR(VLOOKUP(A957,庫存!$A:$I,3,0),"")</f>
        <v/>
      </c>
      <c r="D957" s="54"/>
      <c r="E957" s="35" t="str">
        <f t="shared" si="28"/>
        <v/>
      </c>
      <c r="F957" s="45" t="str">
        <f>IFERROR(VLOOKUP(A957,庫存!$A:$I,4,0),"0")</f>
        <v>0</v>
      </c>
      <c r="G957" s="43" t="str">
        <f t="shared" si="29"/>
        <v/>
      </c>
      <c r="H957" s="24" t="str">
        <f>IFERROR(VLOOKUP(A957,庫存!$A:$I,8,0),"")</f>
        <v/>
      </c>
      <c r="I957" s="24" t="str">
        <f>IFERROR(VLOOKUP(A957,庫存!$A:$I,9,0),"")</f>
        <v/>
      </c>
    </row>
    <row r="958" spans="1:9" ht="23" customHeight="1" x14ac:dyDescent="0.35">
      <c r="A958" s="57"/>
      <c r="B958" s="34" t="str">
        <f>IFERROR(VLOOKUP(A958,庫存!$A:$I,2,0),"")</f>
        <v/>
      </c>
      <c r="C958" s="34" t="str">
        <f>IFERROR(VLOOKUP(A958,庫存!$A:$I,3,0),"")</f>
        <v/>
      </c>
      <c r="D958" s="54"/>
      <c r="E958" s="35" t="str">
        <f t="shared" si="28"/>
        <v/>
      </c>
      <c r="F958" s="45" t="str">
        <f>IFERROR(VLOOKUP(A958,庫存!$A:$I,4,0),"0")</f>
        <v>0</v>
      </c>
      <c r="G958" s="43" t="str">
        <f t="shared" si="29"/>
        <v/>
      </c>
      <c r="H958" s="24" t="str">
        <f>IFERROR(VLOOKUP(A958,庫存!$A:$I,8,0),"")</f>
        <v/>
      </c>
      <c r="I958" s="24" t="str">
        <f>IFERROR(VLOOKUP(A958,庫存!$A:$I,9,0),"")</f>
        <v/>
      </c>
    </row>
    <row r="959" spans="1:9" ht="23" customHeight="1" x14ac:dyDescent="0.35">
      <c r="A959" s="57"/>
      <c r="B959" s="34" t="str">
        <f>IFERROR(VLOOKUP(A959,庫存!$A:$I,2,0),"")</f>
        <v/>
      </c>
      <c r="C959" s="34" t="str">
        <f>IFERROR(VLOOKUP(A959,庫存!$A:$I,3,0),"")</f>
        <v/>
      </c>
      <c r="D959" s="54"/>
      <c r="E959" s="35" t="str">
        <f t="shared" si="28"/>
        <v/>
      </c>
      <c r="F959" s="45" t="str">
        <f>IFERROR(VLOOKUP(A959,庫存!$A:$I,4,0),"0")</f>
        <v>0</v>
      </c>
      <c r="G959" s="43" t="str">
        <f t="shared" si="29"/>
        <v/>
      </c>
      <c r="H959" s="24" t="str">
        <f>IFERROR(VLOOKUP(A959,庫存!$A:$I,8,0),"")</f>
        <v/>
      </c>
      <c r="I959" s="24" t="str">
        <f>IFERROR(VLOOKUP(A959,庫存!$A:$I,9,0),"")</f>
        <v/>
      </c>
    </row>
    <row r="960" spans="1:9" ht="23" customHeight="1" x14ac:dyDescent="0.35">
      <c r="A960" s="57"/>
      <c r="B960" s="34" t="str">
        <f>IFERROR(VLOOKUP(A960,庫存!$A:$I,2,0),"")</f>
        <v/>
      </c>
      <c r="C960" s="34" t="str">
        <f>IFERROR(VLOOKUP(A960,庫存!$A:$I,3,0),"")</f>
        <v/>
      </c>
      <c r="D960" s="54"/>
      <c r="E960" s="35" t="str">
        <f t="shared" si="28"/>
        <v/>
      </c>
      <c r="F960" s="45" t="str">
        <f>IFERROR(VLOOKUP(A960,庫存!$A:$I,4,0),"0")</f>
        <v>0</v>
      </c>
      <c r="G960" s="43" t="str">
        <f t="shared" si="29"/>
        <v/>
      </c>
      <c r="H960" s="24" t="str">
        <f>IFERROR(VLOOKUP(A960,庫存!$A:$I,8,0),"")</f>
        <v/>
      </c>
      <c r="I960" s="24" t="str">
        <f>IFERROR(VLOOKUP(A960,庫存!$A:$I,9,0),"")</f>
        <v/>
      </c>
    </row>
    <row r="961" spans="1:9" ht="23" customHeight="1" x14ac:dyDescent="0.35">
      <c r="A961" s="57"/>
      <c r="B961" s="34" t="str">
        <f>IFERROR(VLOOKUP(A961,庫存!$A:$I,2,0),"")</f>
        <v/>
      </c>
      <c r="C961" s="34" t="str">
        <f>IFERROR(VLOOKUP(A961,庫存!$A:$I,3,0),"")</f>
        <v/>
      </c>
      <c r="D961" s="54"/>
      <c r="E961" s="35" t="str">
        <f t="shared" si="28"/>
        <v/>
      </c>
      <c r="F961" s="45" t="str">
        <f>IFERROR(VLOOKUP(A961,庫存!$A:$I,4,0),"0")</f>
        <v>0</v>
      </c>
      <c r="G961" s="43" t="str">
        <f t="shared" si="29"/>
        <v/>
      </c>
      <c r="H961" s="24" t="str">
        <f>IFERROR(VLOOKUP(A961,庫存!$A:$I,8,0),"")</f>
        <v/>
      </c>
      <c r="I961" s="24" t="str">
        <f>IFERROR(VLOOKUP(A961,庫存!$A:$I,9,0),"")</f>
        <v/>
      </c>
    </row>
    <row r="962" spans="1:9" ht="23" customHeight="1" x14ac:dyDescent="0.35">
      <c r="A962" s="57"/>
      <c r="B962" s="34" t="str">
        <f>IFERROR(VLOOKUP(A962,庫存!$A:$I,2,0),"")</f>
        <v/>
      </c>
      <c r="C962" s="34" t="str">
        <f>IFERROR(VLOOKUP(A962,庫存!$A:$I,3,0),"")</f>
        <v/>
      </c>
      <c r="D962" s="54"/>
      <c r="E962" s="35" t="str">
        <f t="shared" ref="E962:E999" si="30">IF(D962*$E$1=0,"",D962*$E$1)</f>
        <v/>
      </c>
      <c r="F962" s="45" t="str">
        <f>IFERROR(VLOOKUP(A962,庫存!$A:$I,4,0),"0")</f>
        <v>0</v>
      </c>
      <c r="G962" s="43" t="str">
        <f t="shared" ref="G962:G999" si="31">IFERROR(F962-E962,"")</f>
        <v/>
      </c>
      <c r="H962" s="24" t="str">
        <f>IFERROR(VLOOKUP(A962,庫存!$A:$I,8,0),"")</f>
        <v/>
      </c>
      <c r="I962" s="24" t="str">
        <f>IFERROR(VLOOKUP(A962,庫存!$A:$I,9,0),"")</f>
        <v/>
      </c>
    </row>
    <row r="963" spans="1:9" ht="23" customHeight="1" x14ac:dyDescent="0.35">
      <c r="A963" s="57"/>
      <c r="B963" s="34" t="str">
        <f>IFERROR(VLOOKUP(A963,庫存!$A:$I,2,0),"")</f>
        <v/>
      </c>
      <c r="C963" s="34" t="str">
        <f>IFERROR(VLOOKUP(A963,庫存!$A:$I,3,0),"")</f>
        <v/>
      </c>
      <c r="D963" s="54"/>
      <c r="E963" s="35" t="str">
        <f t="shared" si="30"/>
        <v/>
      </c>
      <c r="F963" s="45" t="str">
        <f>IFERROR(VLOOKUP(A963,庫存!$A:$I,4,0),"0")</f>
        <v>0</v>
      </c>
      <c r="G963" s="43" t="str">
        <f t="shared" si="31"/>
        <v/>
      </c>
      <c r="H963" s="24" t="str">
        <f>IFERROR(VLOOKUP(A963,庫存!$A:$I,8,0),"")</f>
        <v/>
      </c>
      <c r="I963" s="24" t="str">
        <f>IFERROR(VLOOKUP(A963,庫存!$A:$I,9,0),"")</f>
        <v/>
      </c>
    </row>
    <row r="964" spans="1:9" ht="23" customHeight="1" x14ac:dyDescent="0.35">
      <c r="A964" s="57"/>
      <c r="B964" s="34" t="str">
        <f>IFERROR(VLOOKUP(A964,庫存!$A:$I,2,0),"")</f>
        <v/>
      </c>
      <c r="C964" s="34" t="str">
        <f>IFERROR(VLOOKUP(A964,庫存!$A:$I,3,0),"")</f>
        <v/>
      </c>
      <c r="D964" s="54"/>
      <c r="E964" s="35" t="str">
        <f t="shared" si="30"/>
        <v/>
      </c>
      <c r="F964" s="45" t="str">
        <f>IFERROR(VLOOKUP(A964,庫存!$A:$I,4,0),"0")</f>
        <v>0</v>
      </c>
      <c r="G964" s="43" t="str">
        <f t="shared" si="31"/>
        <v/>
      </c>
      <c r="H964" s="24" t="str">
        <f>IFERROR(VLOOKUP(A964,庫存!$A:$I,8,0),"")</f>
        <v/>
      </c>
      <c r="I964" s="24" t="str">
        <f>IFERROR(VLOOKUP(A964,庫存!$A:$I,9,0),"")</f>
        <v/>
      </c>
    </row>
    <row r="965" spans="1:9" ht="23" customHeight="1" x14ac:dyDescent="0.35">
      <c r="A965" s="57"/>
      <c r="B965" s="34" t="str">
        <f>IFERROR(VLOOKUP(A965,庫存!$A:$I,2,0),"")</f>
        <v/>
      </c>
      <c r="C965" s="34" t="str">
        <f>IFERROR(VLOOKUP(A965,庫存!$A:$I,3,0),"")</f>
        <v/>
      </c>
      <c r="D965" s="54"/>
      <c r="E965" s="35" t="str">
        <f t="shared" si="30"/>
        <v/>
      </c>
      <c r="F965" s="45" t="str">
        <f>IFERROR(VLOOKUP(A965,庫存!$A:$I,4,0),"0")</f>
        <v>0</v>
      </c>
      <c r="G965" s="43" t="str">
        <f t="shared" si="31"/>
        <v/>
      </c>
      <c r="H965" s="24" t="str">
        <f>IFERROR(VLOOKUP(A965,庫存!$A:$I,8,0),"")</f>
        <v/>
      </c>
      <c r="I965" s="24" t="str">
        <f>IFERROR(VLOOKUP(A965,庫存!$A:$I,9,0),"")</f>
        <v/>
      </c>
    </row>
    <row r="966" spans="1:9" ht="23" customHeight="1" x14ac:dyDescent="0.35">
      <c r="A966" s="57"/>
      <c r="B966" s="34" t="str">
        <f>IFERROR(VLOOKUP(A966,庫存!$A:$I,2,0),"")</f>
        <v/>
      </c>
      <c r="C966" s="34" t="str">
        <f>IFERROR(VLOOKUP(A966,庫存!$A:$I,3,0),"")</f>
        <v/>
      </c>
      <c r="D966" s="54"/>
      <c r="E966" s="35" t="str">
        <f t="shared" si="30"/>
        <v/>
      </c>
      <c r="F966" s="45" t="str">
        <f>IFERROR(VLOOKUP(A966,庫存!$A:$I,4,0),"0")</f>
        <v>0</v>
      </c>
      <c r="G966" s="43" t="str">
        <f t="shared" si="31"/>
        <v/>
      </c>
      <c r="H966" s="24" t="str">
        <f>IFERROR(VLOOKUP(A966,庫存!$A:$I,8,0),"")</f>
        <v/>
      </c>
      <c r="I966" s="24" t="str">
        <f>IFERROR(VLOOKUP(A966,庫存!$A:$I,9,0),"")</f>
        <v/>
      </c>
    </row>
    <row r="967" spans="1:9" ht="23" customHeight="1" x14ac:dyDescent="0.35">
      <c r="A967" s="57"/>
      <c r="B967" s="34" t="str">
        <f>IFERROR(VLOOKUP(A967,庫存!$A:$I,2,0),"")</f>
        <v/>
      </c>
      <c r="C967" s="34" t="str">
        <f>IFERROR(VLOOKUP(A967,庫存!$A:$I,3,0),"")</f>
        <v/>
      </c>
      <c r="D967" s="54"/>
      <c r="E967" s="35" t="str">
        <f t="shared" si="30"/>
        <v/>
      </c>
      <c r="F967" s="45" t="str">
        <f>IFERROR(VLOOKUP(A967,庫存!$A:$I,4,0),"0")</f>
        <v>0</v>
      </c>
      <c r="G967" s="43" t="str">
        <f t="shared" si="31"/>
        <v/>
      </c>
      <c r="H967" s="24" t="str">
        <f>IFERROR(VLOOKUP(A967,庫存!$A:$I,8,0),"")</f>
        <v/>
      </c>
      <c r="I967" s="24" t="str">
        <f>IFERROR(VLOOKUP(A967,庫存!$A:$I,9,0),"")</f>
        <v/>
      </c>
    </row>
    <row r="968" spans="1:9" ht="23" customHeight="1" x14ac:dyDescent="0.35">
      <c r="A968" s="57"/>
      <c r="B968" s="34" t="str">
        <f>IFERROR(VLOOKUP(A968,庫存!$A:$I,2,0),"")</f>
        <v/>
      </c>
      <c r="C968" s="34" t="str">
        <f>IFERROR(VLOOKUP(A968,庫存!$A:$I,3,0),"")</f>
        <v/>
      </c>
      <c r="D968" s="54"/>
      <c r="E968" s="35" t="str">
        <f t="shared" si="30"/>
        <v/>
      </c>
      <c r="F968" s="45" t="str">
        <f>IFERROR(VLOOKUP(A968,庫存!$A:$I,4,0),"0")</f>
        <v>0</v>
      </c>
      <c r="G968" s="43" t="str">
        <f t="shared" si="31"/>
        <v/>
      </c>
      <c r="H968" s="24" t="str">
        <f>IFERROR(VLOOKUP(A968,庫存!$A:$I,8,0),"")</f>
        <v/>
      </c>
      <c r="I968" s="24" t="str">
        <f>IFERROR(VLOOKUP(A968,庫存!$A:$I,9,0),"")</f>
        <v/>
      </c>
    </row>
    <row r="969" spans="1:9" ht="23" customHeight="1" x14ac:dyDescent="0.35">
      <c r="A969" s="57"/>
      <c r="B969" s="34" t="str">
        <f>IFERROR(VLOOKUP(A969,庫存!$A:$I,2,0),"")</f>
        <v/>
      </c>
      <c r="C969" s="34" t="str">
        <f>IFERROR(VLOOKUP(A969,庫存!$A:$I,3,0),"")</f>
        <v/>
      </c>
      <c r="D969" s="54"/>
      <c r="E969" s="35" t="str">
        <f t="shared" si="30"/>
        <v/>
      </c>
      <c r="F969" s="45" t="str">
        <f>IFERROR(VLOOKUP(A969,庫存!$A:$I,4,0),"0")</f>
        <v>0</v>
      </c>
      <c r="G969" s="43" t="str">
        <f t="shared" si="31"/>
        <v/>
      </c>
      <c r="H969" s="24" t="str">
        <f>IFERROR(VLOOKUP(A969,庫存!$A:$I,8,0),"")</f>
        <v/>
      </c>
      <c r="I969" s="24" t="str">
        <f>IFERROR(VLOOKUP(A969,庫存!$A:$I,9,0),"")</f>
        <v/>
      </c>
    </row>
    <row r="970" spans="1:9" ht="23" customHeight="1" x14ac:dyDescent="0.35">
      <c r="A970" s="57"/>
      <c r="B970" s="34" t="str">
        <f>IFERROR(VLOOKUP(A970,庫存!$A:$I,2,0),"")</f>
        <v/>
      </c>
      <c r="C970" s="34" t="str">
        <f>IFERROR(VLOOKUP(A970,庫存!$A:$I,3,0),"")</f>
        <v/>
      </c>
      <c r="D970" s="54"/>
      <c r="E970" s="35" t="str">
        <f t="shared" si="30"/>
        <v/>
      </c>
      <c r="F970" s="45" t="str">
        <f>IFERROR(VLOOKUP(A970,庫存!$A:$I,4,0),"0")</f>
        <v>0</v>
      </c>
      <c r="G970" s="43" t="str">
        <f t="shared" si="31"/>
        <v/>
      </c>
      <c r="H970" s="24" t="str">
        <f>IFERROR(VLOOKUP(A970,庫存!$A:$I,8,0),"")</f>
        <v/>
      </c>
      <c r="I970" s="24" t="str">
        <f>IFERROR(VLOOKUP(A970,庫存!$A:$I,9,0),"")</f>
        <v/>
      </c>
    </row>
    <row r="971" spans="1:9" ht="23" customHeight="1" x14ac:dyDescent="0.35">
      <c r="A971" s="57"/>
      <c r="B971" s="34" t="str">
        <f>IFERROR(VLOOKUP(A971,庫存!$A:$I,2,0),"")</f>
        <v/>
      </c>
      <c r="C971" s="34" t="str">
        <f>IFERROR(VLOOKUP(A971,庫存!$A:$I,3,0),"")</f>
        <v/>
      </c>
      <c r="D971" s="54"/>
      <c r="E971" s="35" t="str">
        <f t="shared" si="30"/>
        <v/>
      </c>
      <c r="F971" s="45" t="str">
        <f>IFERROR(VLOOKUP(A971,庫存!$A:$I,4,0),"0")</f>
        <v>0</v>
      </c>
      <c r="G971" s="43" t="str">
        <f t="shared" si="31"/>
        <v/>
      </c>
      <c r="H971" s="24" t="str">
        <f>IFERROR(VLOOKUP(A971,庫存!$A:$I,8,0),"")</f>
        <v/>
      </c>
      <c r="I971" s="24" t="str">
        <f>IFERROR(VLOOKUP(A971,庫存!$A:$I,9,0),"")</f>
        <v/>
      </c>
    </row>
    <row r="972" spans="1:9" ht="23" customHeight="1" x14ac:dyDescent="0.35">
      <c r="A972" s="57"/>
      <c r="B972" s="34" t="str">
        <f>IFERROR(VLOOKUP(A972,庫存!$A:$I,2,0),"")</f>
        <v/>
      </c>
      <c r="C972" s="34" t="str">
        <f>IFERROR(VLOOKUP(A972,庫存!$A:$I,3,0),"")</f>
        <v/>
      </c>
      <c r="D972" s="54"/>
      <c r="E972" s="35" t="str">
        <f t="shared" si="30"/>
        <v/>
      </c>
      <c r="F972" s="45" t="str">
        <f>IFERROR(VLOOKUP(A972,庫存!$A:$I,4,0),"0")</f>
        <v>0</v>
      </c>
      <c r="G972" s="43" t="str">
        <f t="shared" si="31"/>
        <v/>
      </c>
      <c r="H972" s="24" t="str">
        <f>IFERROR(VLOOKUP(A972,庫存!$A:$I,8,0),"")</f>
        <v/>
      </c>
      <c r="I972" s="24" t="str">
        <f>IFERROR(VLOOKUP(A972,庫存!$A:$I,9,0),"")</f>
        <v/>
      </c>
    </row>
    <row r="973" spans="1:9" ht="23" customHeight="1" x14ac:dyDescent="0.35">
      <c r="A973" s="57"/>
      <c r="B973" s="34" t="str">
        <f>IFERROR(VLOOKUP(A973,庫存!$A:$I,2,0),"")</f>
        <v/>
      </c>
      <c r="C973" s="34" t="str">
        <f>IFERROR(VLOOKUP(A973,庫存!$A:$I,3,0),"")</f>
        <v/>
      </c>
      <c r="D973" s="54"/>
      <c r="E973" s="35" t="str">
        <f t="shared" si="30"/>
        <v/>
      </c>
      <c r="F973" s="45" t="str">
        <f>IFERROR(VLOOKUP(A973,庫存!$A:$I,4,0),"0")</f>
        <v>0</v>
      </c>
      <c r="G973" s="43" t="str">
        <f t="shared" si="31"/>
        <v/>
      </c>
      <c r="H973" s="24" t="str">
        <f>IFERROR(VLOOKUP(A973,庫存!$A:$I,8,0),"")</f>
        <v/>
      </c>
      <c r="I973" s="24" t="str">
        <f>IFERROR(VLOOKUP(A973,庫存!$A:$I,9,0),"")</f>
        <v/>
      </c>
    </row>
    <row r="974" spans="1:9" ht="23" customHeight="1" x14ac:dyDescent="0.35">
      <c r="A974" s="57"/>
      <c r="B974" s="34" t="str">
        <f>IFERROR(VLOOKUP(A974,庫存!$A:$I,2,0),"")</f>
        <v/>
      </c>
      <c r="C974" s="34" t="str">
        <f>IFERROR(VLOOKUP(A974,庫存!$A:$I,3,0),"")</f>
        <v/>
      </c>
      <c r="D974" s="54"/>
      <c r="E974" s="35" t="str">
        <f t="shared" si="30"/>
        <v/>
      </c>
      <c r="F974" s="45" t="str">
        <f>IFERROR(VLOOKUP(A974,庫存!$A:$I,4,0),"0")</f>
        <v>0</v>
      </c>
      <c r="G974" s="43" t="str">
        <f t="shared" si="31"/>
        <v/>
      </c>
      <c r="H974" s="24" t="str">
        <f>IFERROR(VLOOKUP(A974,庫存!$A:$I,8,0),"")</f>
        <v/>
      </c>
      <c r="I974" s="24" t="str">
        <f>IFERROR(VLOOKUP(A974,庫存!$A:$I,9,0),"")</f>
        <v/>
      </c>
    </row>
    <row r="975" spans="1:9" ht="23" customHeight="1" x14ac:dyDescent="0.35">
      <c r="A975" s="57"/>
      <c r="B975" s="34" t="str">
        <f>IFERROR(VLOOKUP(A975,庫存!$A:$I,2,0),"")</f>
        <v/>
      </c>
      <c r="C975" s="34" t="str">
        <f>IFERROR(VLOOKUP(A975,庫存!$A:$I,3,0),"")</f>
        <v/>
      </c>
      <c r="D975" s="54"/>
      <c r="E975" s="35" t="str">
        <f t="shared" si="30"/>
        <v/>
      </c>
      <c r="F975" s="45" t="str">
        <f>IFERROR(VLOOKUP(A975,庫存!$A:$I,4,0),"0")</f>
        <v>0</v>
      </c>
      <c r="G975" s="43" t="str">
        <f t="shared" si="31"/>
        <v/>
      </c>
      <c r="H975" s="24" t="str">
        <f>IFERROR(VLOOKUP(A975,庫存!$A:$I,8,0),"")</f>
        <v/>
      </c>
      <c r="I975" s="24" t="str">
        <f>IFERROR(VLOOKUP(A975,庫存!$A:$I,9,0),"")</f>
        <v/>
      </c>
    </row>
    <row r="976" spans="1:9" ht="23" customHeight="1" x14ac:dyDescent="0.35">
      <c r="A976" s="57"/>
      <c r="B976" s="34" t="str">
        <f>IFERROR(VLOOKUP(A976,庫存!$A:$I,2,0),"")</f>
        <v/>
      </c>
      <c r="C976" s="34" t="str">
        <f>IFERROR(VLOOKUP(A976,庫存!$A:$I,3,0),"")</f>
        <v/>
      </c>
      <c r="D976" s="54"/>
      <c r="E976" s="35" t="str">
        <f t="shared" si="30"/>
        <v/>
      </c>
      <c r="F976" s="45" t="str">
        <f>IFERROR(VLOOKUP(A976,庫存!$A:$I,4,0),"0")</f>
        <v>0</v>
      </c>
      <c r="G976" s="43" t="str">
        <f t="shared" si="31"/>
        <v/>
      </c>
      <c r="H976" s="24" t="str">
        <f>IFERROR(VLOOKUP(A976,庫存!$A:$I,8,0),"")</f>
        <v/>
      </c>
      <c r="I976" s="24" t="str">
        <f>IFERROR(VLOOKUP(A976,庫存!$A:$I,9,0),"")</f>
        <v/>
      </c>
    </row>
    <row r="977" spans="1:9" ht="23" customHeight="1" x14ac:dyDescent="0.35">
      <c r="A977" s="57"/>
      <c r="B977" s="34" t="str">
        <f>IFERROR(VLOOKUP(A977,庫存!$A:$I,2,0),"")</f>
        <v/>
      </c>
      <c r="C977" s="34" t="str">
        <f>IFERROR(VLOOKUP(A977,庫存!$A:$I,3,0),"")</f>
        <v/>
      </c>
      <c r="D977" s="54"/>
      <c r="E977" s="35" t="str">
        <f t="shared" si="30"/>
        <v/>
      </c>
      <c r="F977" s="45" t="str">
        <f>IFERROR(VLOOKUP(A977,庫存!$A:$I,4,0),"0")</f>
        <v>0</v>
      </c>
      <c r="G977" s="43" t="str">
        <f t="shared" si="31"/>
        <v/>
      </c>
      <c r="H977" s="24" t="str">
        <f>IFERROR(VLOOKUP(A977,庫存!$A:$I,8,0),"")</f>
        <v/>
      </c>
      <c r="I977" s="24" t="str">
        <f>IFERROR(VLOOKUP(A977,庫存!$A:$I,9,0),"")</f>
        <v/>
      </c>
    </row>
    <row r="978" spans="1:9" ht="23" customHeight="1" x14ac:dyDescent="0.35">
      <c r="A978" s="57"/>
      <c r="B978" s="34" t="str">
        <f>IFERROR(VLOOKUP(A978,庫存!$A:$I,2,0),"")</f>
        <v/>
      </c>
      <c r="C978" s="34" t="str">
        <f>IFERROR(VLOOKUP(A978,庫存!$A:$I,3,0),"")</f>
        <v/>
      </c>
      <c r="D978" s="54"/>
      <c r="E978" s="35" t="str">
        <f t="shared" si="30"/>
        <v/>
      </c>
      <c r="F978" s="45" t="str">
        <f>IFERROR(VLOOKUP(A978,庫存!$A:$I,4,0),"0")</f>
        <v>0</v>
      </c>
      <c r="G978" s="43" t="str">
        <f t="shared" si="31"/>
        <v/>
      </c>
      <c r="H978" s="24" t="str">
        <f>IFERROR(VLOOKUP(A978,庫存!$A:$I,8,0),"")</f>
        <v/>
      </c>
      <c r="I978" s="24" t="str">
        <f>IFERROR(VLOOKUP(A978,庫存!$A:$I,9,0),"")</f>
        <v/>
      </c>
    </row>
    <row r="979" spans="1:9" ht="23" customHeight="1" x14ac:dyDescent="0.35">
      <c r="A979" s="57"/>
      <c r="B979" s="34" t="str">
        <f>IFERROR(VLOOKUP(A979,庫存!$A:$I,2,0),"")</f>
        <v/>
      </c>
      <c r="C979" s="34" t="str">
        <f>IFERROR(VLOOKUP(A979,庫存!$A:$I,3,0),"")</f>
        <v/>
      </c>
      <c r="D979" s="54"/>
      <c r="E979" s="35" t="str">
        <f t="shared" si="30"/>
        <v/>
      </c>
      <c r="F979" s="45" t="str">
        <f>IFERROR(VLOOKUP(A979,庫存!$A:$I,4,0),"0")</f>
        <v>0</v>
      </c>
      <c r="G979" s="43" t="str">
        <f t="shared" si="31"/>
        <v/>
      </c>
      <c r="H979" s="24" t="str">
        <f>IFERROR(VLOOKUP(A979,庫存!$A:$I,8,0),"")</f>
        <v/>
      </c>
      <c r="I979" s="24" t="str">
        <f>IFERROR(VLOOKUP(A979,庫存!$A:$I,9,0),"")</f>
        <v/>
      </c>
    </row>
    <row r="980" spans="1:9" ht="23" customHeight="1" x14ac:dyDescent="0.35">
      <c r="A980" s="57"/>
      <c r="B980" s="34" t="str">
        <f>IFERROR(VLOOKUP(A980,庫存!$A:$I,2,0),"")</f>
        <v/>
      </c>
      <c r="C980" s="34" t="str">
        <f>IFERROR(VLOOKUP(A980,庫存!$A:$I,3,0),"")</f>
        <v/>
      </c>
      <c r="D980" s="54"/>
      <c r="E980" s="35" t="str">
        <f t="shared" si="30"/>
        <v/>
      </c>
      <c r="F980" s="45" t="str">
        <f>IFERROR(VLOOKUP(A980,庫存!$A:$I,4,0),"0")</f>
        <v>0</v>
      </c>
      <c r="G980" s="43" t="str">
        <f t="shared" si="31"/>
        <v/>
      </c>
      <c r="H980" s="24" t="str">
        <f>IFERROR(VLOOKUP(A980,庫存!$A:$I,8,0),"")</f>
        <v/>
      </c>
      <c r="I980" s="24" t="str">
        <f>IFERROR(VLOOKUP(A980,庫存!$A:$I,9,0),"")</f>
        <v/>
      </c>
    </row>
    <row r="981" spans="1:9" ht="23" customHeight="1" x14ac:dyDescent="0.35">
      <c r="A981" s="57"/>
      <c r="B981" s="34" t="str">
        <f>IFERROR(VLOOKUP(A981,庫存!$A:$I,2,0),"")</f>
        <v/>
      </c>
      <c r="C981" s="34" t="str">
        <f>IFERROR(VLOOKUP(A981,庫存!$A:$I,3,0),"")</f>
        <v/>
      </c>
      <c r="D981" s="54"/>
      <c r="E981" s="35" t="str">
        <f t="shared" si="30"/>
        <v/>
      </c>
      <c r="F981" s="45" t="str">
        <f>IFERROR(VLOOKUP(A981,庫存!$A:$I,4,0),"0")</f>
        <v>0</v>
      </c>
      <c r="G981" s="43" t="str">
        <f t="shared" si="31"/>
        <v/>
      </c>
      <c r="H981" s="24" t="str">
        <f>IFERROR(VLOOKUP(A981,庫存!$A:$I,8,0),"")</f>
        <v/>
      </c>
      <c r="I981" s="24" t="str">
        <f>IFERROR(VLOOKUP(A981,庫存!$A:$I,9,0),"")</f>
        <v/>
      </c>
    </row>
    <row r="982" spans="1:9" ht="23" customHeight="1" x14ac:dyDescent="0.35">
      <c r="A982" s="57"/>
      <c r="B982" s="34" t="str">
        <f>IFERROR(VLOOKUP(A982,庫存!$A:$I,2,0),"")</f>
        <v/>
      </c>
      <c r="C982" s="34" t="str">
        <f>IFERROR(VLOOKUP(A982,庫存!$A:$I,3,0),"")</f>
        <v/>
      </c>
      <c r="D982" s="54"/>
      <c r="E982" s="35" t="str">
        <f t="shared" si="30"/>
        <v/>
      </c>
      <c r="F982" s="45" t="str">
        <f>IFERROR(VLOOKUP(A982,庫存!$A:$I,4,0),"0")</f>
        <v>0</v>
      </c>
      <c r="G982" s="43" t="str">
        <f t="shared" si="31"/>
        <v/>
      </c>
      <c r="H982" s="24" t="str">
        <f>IFERROR(VLOOKUP(A982,庫存!$A:$I,8,0),"")</f>
        <v/>
      </c>
      <c r="I982" s="24" t="str">
        <f>IFERROR(VLOOKUP(A982,庫存!$A:$I,9,0),"")</f>
        <v/>
      </c>
    </row>
    <row r="983" spans="1:9" ht="23" customHeight="1" x14ac:dyDescent="0.35">
      <c r="A983" s="57"/>
      <c r="B983" s="34" t="str">
        <f>IFERROR(VLOOKUP(A983,庫存!$A:$I,2,0),"")</f>
        <v/>
      </c>
      <c r="C983" s="34" t="str">
        <f>IFERROR(VLOOKUP(A983,庫存!$A:$I,3,0),"")</f>
        <v/>
      </c>
      <c r="D983" s="54"/>
      <c r="E983" s="35" t="str">
        <f t="shared" si="30"/>
        <v/>
      </c>
      <c r="F983" s="45" t="str">
        <f>IFERROR(VLOOKUP(A983,庫存!$A:$I,4,0),"0")</f>
        <v>0</v>
      </c>
      <c r="G983" s="43" t="str">
        <f t="shared" si="31"/>
        <v/>
      </c>
      <c r="H983" s="24" t="str">
        <f>IFERROR(VLOOKUP(A983,庫存!$A:$I,8,0),"")</f>
        <v/>
      </c>
      <c r="I983" s="24" t="str">
        <f>IFERROR(VLOOKUP(A983,庫存!$A:$I,9,0),"")</f>
        <v/>
      </c>
    </row>
    <row r="984" spans="1:9" ht="23" customHeight="1" x14ac:dyDescent="0.35">
      <c r="A984" s="57"/>
      <c r="B984" s="34" t="str">
        <f>IFERROR(VLOOKUP(A984,庫存!$A:$I,2,0),"")</f>
        <v/>
      </c>
      <c r="C984" s="34" t="str">
        <f>IFERROR(VLOOKUP(A984,庫存!$A:$I,3,0),"")</f>
        <v/>
      </c>
      <c r="D984" s="54"/>
      <c r="E984" s="35" t="str">
        <f t="shared" si="30"/>
        <v/>
      </c>
      <c r="F984" s="45" t="str">
        <f>IFERROR(VLOOKUP(A984,庫存!$A:$I,4,0),"0")</f>
        <v>0</v>
      </c>
      <c r="G984" s="43" t="str">
        <f t="shared" si="31"/>
        <v/>
      </c>
      <c r="H984" s="24" t="str">
        <f>IFERROR(VLOOKUP(A984,庫存!$A:$I,8,0),"")</f>
        <v/>
      </c>
      <c r="I984" s="24" t="str">
        <f>IFERROR(VLOOKUP(A984,庫存!$A:$I,9,0),"")</f>
        <v/>
      </c>
    </row>
    <row r="985" spans="1:9" ht="23" customHeight="1" x14ac:dyDescent="0.35">
      <c r="A985" s="57"/>
      <c r="B985" s="34" t="str">
        <f>IFERROR(VLOOKUP(A985,庫存!$A:$I,2,0),"")</f>
        <v/>
      </c>
      <c r="C985" s="34" t="str">
        <f>IFERROR(VLOOKUP(A985,庫存!$A:$I,3,0),"")</f>
        <v/>
      </c>
      <c r="D985" s="54"/>
      <c r="E985" s="35" t="str">
        <f t="shared" si="30"/>
        <v/>
      </c>
      <c r="F985" s="45" t="str">
        <f>IFERROR(VLOOKUP(A985,庫存!$A:$I,4,0),"0")</f>
        <v>0</v>
      </c>
      <c r="G985" s="43" t="str">
        <f t="shared" si="31"/>
        <v/>
      </c>
      <c r="H985" s="24" t="str">
        <f>IFERROR(VLOOKUP(A985,庫存!$A:$I,8,0),"")</f>
        <v/>
      </c>
      <c r="I985" s="24" t="str">
        <f>IFERROR(VLOOKUP(A985,庫存!$A:$I,9,0),"")</f>
        <v/>
      </c>
    </row>
    <row r="986" spans="1:9" ht="23" customHeight="1" x14ac:dyDescent="0.35">
      <c r="A986" s="57"/>
      <c r="B986" s="34" t="str">
        <f>IFERROR(VLOOKUP(A986,庫存!$A:$I,2,0),"")</f>
        <v/>
      </c>
      <c r="C986" s="34" t="str">
        <f>IFERROR(VLOOKUP(A986,庫存!$A:$I,3,0),"")</f>
        <v/>
      </c>
      <c r="D986" s="54"/>
      <c r="E986" s="35" t="str">
        <f t="shared" si="30"/>
        <v/>
      </c>
      <c r="F986" s="45" t="str">
        <f>IFERROR(VLOOKUP(A986,庫存!$A:$I,4,0),"0")</f>
        <v>0</v>
      </c>
      <c r="G986" s="43" t="str">
        <f t="shared" si="31"/>
        <v/>
      </c>
      <c r="H986" s="24" t="str">
        <f>IFERROR(VLOOKUP(A986,庫存!$A:$I,8,0),"")</f>
        <v/>
      </c>
      <c r="I986" s="24" t="str">
        <f>IFERROR(VLOOKUP(A986,庫存!$A:$I,9,0),"")</f>
        <v/>
      </c>
    </row>
    <row r="987" spans="1:9" ht="23" customHeight="1" x14ac:dyDescent="0.35">
      <c r="A987" s="57"/>
      <c r="B987" s="34" t="str">
        <f>IFERROR(VLOOKUP(A987,庫存!$A:$I,2,0),"")</f>
        <v/>
      </c>
      <c r="C987" s="34" t="str">
        <f>IFERROR(VLOOKUP(A987,庫存!$A:$I,3,0),"")</f>
        <v/>
      </c>
      <c r="D987" s="54"/>
      <c r="E987" s="35" t="str">
        <f t="shared" si="30"/>
        <v/>
      </c>
      <c r="F987" s="45" t="str">
        <f>IFERROR(VLOOKUP(A987,庫存!$A:$I,4,0),"0")</f>
        <v>0</v>
      </c>
      <c r="G987" s="43" t="str">
        <f t="shared" si="31"/>
        <v/>
      </c>
      <c r="H987" s="24" t="str">
        <f>IFERROR(VLOOKUP(A987,庫存!$A:$I,8,0),"")</f>
        <v/>
      </c>
      <c r="I987" s="24" t="str">
        <f>IFERROR(VLOOKUP(A987,庫存!$A:$I,9,0),"")</f>
        <v/>
      </c>
    </row>
    <row r="988" spans="1:9" ht="23" customHeight="1" x14ac:dyDescent="0.35">
      <c r="A988" s="57"/>
      <c r="B988" s="34" t="str">
        <f>IFERROR(VLOOKUP(A988,庫存!$A:$I,2,0),"")</f>
        <v/>
      </c>
      <c r="C988" s="34" t="str">
        <f>IFERROR(VLOOKUP(A988,庫存!$A:$I,3,0),"")</f>
        <v/>
      </c>
      <c r="D988" s="54"/>
      <c r="E988" s="35" t="str">
        <f t="shared" si="30"/>
        <v/>
      </c>
      <c r="F988" s="45" t="str">
        <f>IFERROR(VLOOKUP(A988,庫存!$A:$I,4,0),"0")</f>
        <v>0</v>
      </c>
      <c r="G988" s="43" t="str">
        <f t="shared" si="31"/>
        <v/>
      </c>
      <c r="H988" s="24" t="str">
        <f>IFERROR(VLOOKUP(A988,庫存!$A:$I,8,0),"")</f>
        <v/>
      </c>
      <c r="I988" s="24" t="str">
        <f>IFERROR(VLOOKUP(A988,庫存!$A:$I,9,0),"")</f>
        <v/>
      </c>
    </row>
    <row r="989" spans="1:9" ht="23" customHeight="1" x14ac:dyDescent="0.35">
      <c r="A989" s="57"/>
      <c r="B989" s="34" t="str">
        <f>IFERROR(VLOOKUP(A989,庫存!$A:$I,2,0),"")</f>
        <v/>
      </c>
      <c r="C989" s="34" t="str">
        <f>IFERROR(VLOOKUP(A989,庫存!$A:$I,3,0),"")</f>
        <v/>
      </c>
      <c r="D989" s="54"/>
      <c r="E989" s="35" t="str">
        <f t="shared" si="30"/>
        <v/>
      </c>
      <c r="F989" s="45" t="str">
        <f>IFERROR(VLOOKUP(A989,庫存!$A:$I,4,0),"0")</f>
        <v>0</v>
      </c>
      <c r="G989" s="43" t="str">
        <f t="shared" si="31"/>
        <v/>
      </c>
      <c r="H989" s="24" t="str">
        <f>IFERROR(VLOOKUP(A989,庫存!$A:$I,8,0),"")</f>
        <v/>
      </c>
      <c r="I989" s="24" t="str">
        <f>IFERROR(VLOOKUP(A989,庫存!$A:$I,9,0),"")</f>
        <v/>
      </c>
    </row>
    <row r="990" spans="1:9" ht="23" customHeight="1" x14ac:dyDescent="0.35">
      <c r="A990" s="57"/>
      <c r="B990" s="34" t="str">
        <f>IFERROR(VLOOKUP(A990,庫存!$A:$I,2,0),"")</f>
        <v/>
      </c>
      <c r="C990" s="34" t="str">
        <f>IFERROR(VLOOKUP(A990,庫存!$A:$I,3,0),"")</f>
        <v/>
      </c>
      <c r="D990" s="54"/>
      <c r="E990" s="35" t="str">
        <f t="shared" si="30"/>
        <v/>
      </c>
      <c r="F990" s="45" t="str">
        <f>IFERROR(VLOOKUP(A990,庫存!$A:$I,4,0),"0")</f>
        <v>0</v>
      </c>
      <c r="G990" s="43" t="str">
        <f t="shared" si="31"/>
        <v/>
      </c>
      <c r="H990" s="24" t="str">
        <f>IFERROR(VLOOKUP(A990,庫存!$A:$I,8,0),"")</f>
        <v/>
      </c>
      <c r="I990" s="24" t="str">
        <f>IFERROR(VLOOKUP(A990,庫存!$A:$I,9,0),"")</f>
        <v/>
      </c>
    </row>
    <row r="991" spans="1:9" ht="23" customHeight="1" x14ac:dyDescent="0.35">
      <c r="A991" s="57"/>
      <c r="B991" s="34" t="str">
        <f>IFERROR(VLOOKUP(A991,庫存!$A:$I,2,0),"")</f>
        <v/>
      </c>
      <c r="C991" s="34" t="str">
        <f>IFERROR(VLOOKUP(A991,庫存!$A:$I,3,0),"")</f>
        <v/>
      </c>
      <c r="D991" s="54"/>
      <c r="E991" s="35" t="str">
        <f t="shared" si="30"/>
        <v/>
      </c>
      <c r="F991" s="45" t="str">
        <f>IFERROR(VLOOKUP(A991,庫存!$A:$I,4,0),"0")</f>
        <v>0</v>
      </c>
      <c r="G991" s="43" t="str">
        <f t="shared" si="31"/>
        <v/>
      </c>
      <c r="H991" s="24" t="str">
        <f>IFERROR(VLOOKUP(A991,庫存!$A:$I,8,0),"")</f>
        <v/>
      </c>
      <c r="I991" s="24" t="str">
        <f>IFERROR(VLOOKUP(A991,庫存!$A:$I,9,0),"")</f>
        <v/>
      </c>
    </row>
    <row r="992" spans="1:9" ht="23" customHeight="1" x14ac:dyDescent="0.35">
      <c r="A992" s="57"/>
      <c r="B992" s="34" t="str">
        <f>IFERROR(VLOOKUP(A992,庫存!$A:$I,2,0),"")</f>
        <v/>
      </c>
      <c r="C992" s="34" t="str">
        <f>IFERROR(VLOOKUP(A992,庫存!$A:$I,3,0),"")</f>
        <v/>
      </c>
      <c r="D992" s="54"/>
      <c r="E992" s="35" t="str">
        <f t="shared" si="30"/>
        <v/>
      </c>
      <c r="F992" s="45" t="str">
        <f>IFERROR(VLOOKUP(A992,庫存!$A:$I,4,0),"0")</f>
        <v>0</v>
      </c>
      <c r="G992" s="43" t="str">
        <f t="shared" si="31"/>
        <v/>
      </c>
      <c r="H992" s="24" t="str">
        <f>IFERROR(VLOOKUP(A992,庫存!$A:$I,8,0),"")</f>
        <v/>
      </c>
      <c r="I992" s="24" t="str">
        <f>IFERROR(VLOOKUP(A992,庫存!$A:$I,9,0),"")</f>
        <v/>
      </c>
    </row>
    <row r="993" spans="1:9" ht="23" customHeight="1" x14ac:dyDescent="0.35">
      <c r="A993" s="57"/>
      <c r="B993" s="34" t="str">
        <f>IFERROR(VLOOKUP(A993,庫存!$A:$I,2,0),"")</f>
        <v/>
      </c>
      <c r="C993" s="34" t="str">
        <f>IFERROR(VLOOKUP(A993,庫存!$A:$I,3,0),"")</f>
        <v/>
      </c>
      <c r="D993" s="54"/>
      <c r="E993" s="35" t="str">
        <f t="shared" si="30"/>
        <v/>
      </c>
      <c r="F993" s="45" t="str">
        <f>IFERROR(VLOOKUP(A993,庫存!$A:$I,4,0),"0")</f>
        <v>0</v>
      </c>
      <c r="G993" s="43" t="str">
        <f t="shared" si="31"/>
        <v/>
      </c>
      <c r="H993" s="24" t="str">
        <f>IFERROR(VLOOKUP(A993,庫存!$A:$I,8,0),"")</f>
        <v/>
      </c>
      <c r="I993" s="24" t="str">
        <f>IFERROR(VLOOKUP(A993,庫存!$A:$I,9,0),"")</f>
        <v/>
      </c>
    </row>
    <row r="994" spans="1:9" ht="23" customHeight="1" x14ac:dyDescent="0.35">
      <c r="A994" s="57"/>
      <c r="B994" s="34" t="str">
        <f>IFERROR(VLOOKUP(A994,庫存!$A:$I,2,0),"")</f>
        <v/>
      </c>
      <c r="C994" s="34" t="str">
        <f>IFERROR(VLOOKUP(A994,庫存!$A:$I,3,0),"")</f>
        <v/>
      </c>
      <c r="D994" s="54"/>
      <c r="E994" s="35" t="str">
        <f t="shared" si="30"/>
        <v/>
      </c>
      <c r="F994" s="45" t="str">
        <f>IFERROR(VLOOKUP(A994,庫存!$A:$I,4,0),"0")</f>
        <v>0</v>
      </c>
      <c r="G994" s="43" t="str">
        <f t="shared" si="31"/>
        <v/>
      </c>
      <c r="H994" s="24" t="str">
        <f>IFERROR(VLOOKUP(A994,庫存!$A:$I,8,0),"")</f>
        <v/>
      </c>
      <c r="I994" s="24" t="str">
        <f>IFERROR(VLOOKUP(A994,庫存!$A:$I,9,0),"")</f>
        <v/>
      </c>
    </row>
    <row r="995" spans="1:9" ht="23" customHeight="1" x14ac:dyDescent="0.35">
      <c r="A995" s="57"/>
      <c r="B995" s="34" t="str">
        <f>IFERROR(VLOOKUP(A995,庫存!$A:$I,2,0),"")</f>
        <v/>
      </c>
      <c r="C995" s="34" t="str">
        <f>IFERROR(VLOOKUP(A995,庫存!$A:$I,3,0),"")</f>
        <v/>
      </c>
      <c r="D995" s="54"/>
      <c r="E995" s="35" t="str">
        <f t="shared" si="30"/>
        <v/>
      </c>
      <c r="F995" s="45" t="str">
        <f>IFERROR(VLOOKUP(A995,庫存!$A:$I,4,0),"0")</f>
        <v>0</v>
      </c>
      <c r="G995" s="43" t="str">
        <f t="shared" si="31"/>
        <v/>
      </c>
      <c r="H995" s="24" t="str">
        <f>IFERROR(VLOOKUP(A995,庫存!$A:$I,8,0),"")</f>
        <v/>
      </c>
      <c r="I995" s="24" t="str">
        <f>IFERROR(VLOOKUP(A995,庫存!$A:$I,9,0),"")</f>
        <v/>
      </c>
    </row>
    <row r="996" spans="1:9" ht="23" customHeight="1" x14ac:dyDescent="0.35">
      <c r="A996" s="57"/>
      <c r="B996" s="34" t="str">
        <f>IFERROR(VLOOKUP(A996,庫存!$A:$I,2,0),"")</f>
        <v/>
      </c>
      <c r="C996" s="34" t="str">
        <f>IFERROR(VLOOKUP(A996,庫存!$A:$I,3,0),"")</f>
        <v/>
      </c>
      <c r="D996" s="54"/>
      <c r="E996" s="35" t="str">
        <f t="shared" si="30"/>
        <v/>
      </c>
      <c r="F996" s="45" t="str">
        <f>IFERROR(VLOOKUP(A996,庫存!$A:$I,4,0),"0")</f>
        <v>0</v>
      </c>
      <c r="G996" s="43" t="str">
        <f t="shared" si="31"/>
        <v/>
      </c>
      <c r="H996" s="24" t="str">
        <f>IFERROR(VLOOKUP(A996,庫存!$A:$I,8,0),"")</f>
        <v/>
      </c>
      <c r="I996" s="24" t="str">
        <f>IFERROR(VLOOKUP(A996,庫存!$A:$I,9,0),"")</f>
        <v/>
      </c>
    </row>
    <row r="997" spans="1:9" ht="23" customHeight="1" x14ac:dyDescent="0.35">
      <c r="A997" s="57"/>
      <c r="B997" s="34" t="str">
        <f>IFERROR(VLOOKUP(A997,庫存!$A:$I,2,0),"")</f>
        <v/>
      </c>
      <c r="C997" s="34" t="str">
        <f>IFERROR(VLOOKUP(A997,庫存!$A:$I,3,0),"")</f>
        <v/>
      </c>
      <c r="D997" s="54"/>
      <c r="E997" s="35" t="str">
        <f t="shared" si="30"/>
        <v/>
      </c>
      <c r="F997" s="45" t="str">
        <f>IFERROR(VLOOKUP(A997,庫存!$A:$I,4,0),"0")</f>
        <v>0</v>
      </c>
      <c r="G997" s="43" t="str">
        <f t="shared" si="31"/>
        <v/>
      </c>
      <c r="H997" s="24" t="str">
        <f>IFERROR(VLOOKUP(A997,庫存!$A:$I,8,0),"")</f>
        <v/>
      </c>
      <c r="I997" s="24" t="str">
        <f>IFERROR(VLOOKUP(A997,庫存!$A:$I,9,0),"")</f>
        <v/>
      </c>
    </row>
    <row r="998" spans="1:9" ht="23" customHeight="1" x14ac:dyDescent="0.35">
      <c r="A998" s="57"/>
      <c r="B998" s="34" t="str">
        <f>IFERROR(VLOOKUP(A998,庫存!$A:$I,2,0),"")</f>
        <v/>
      </c>
      <c r="C998" s="34" t="str">
        <f>IFERROR(VLOOKUP(A998,庫存!$A:$I,3,0),"")</f>
        <v/>
      </c>
      <c r="D998" s="54"/>
      <c r="E998" s="35" t="str">
        <f t="shared" si="30"/>
        <v/>
      </c>
      <c r="F998" s="45" t="str">
        <f>IFERROR(VLOOKUP(A998,庫存!$A:$I,4,0),"0")</f>
        <v>0</v>
      </c>
      <c r="G998" s="43" t="str">
        <f t="shared" si="31"/>
        <v/>
      </c>
      <c r="H998" s="24" t="str">
        <f>IFERROR(VLOOKUP(A998,庫存!$A:$I,8,0),"")</f>
        <v/>
      </c>
      <c r="I998" s="24" t="str">
        <f>IFERROR(VLOOKUP(A998,庫存!$A:$I,9,0),"")</f>
        <v/>
      </c>
    </row>
    <row r="999" spans="1:9" ht="23" customHeight="1" x14ac:dyDescent="0.35">
      <c r="A999" s="57"/>
      <c r="B999" s="34" t="str">
        <f>IFERROR(VLOOKUP(A999,庫存!$A:$I,2,0),"")</f>
        <v/>
      </c>
      <c r="C999" s="34" t="str">
        <f>IFERROR(VLOOKUP(A999,庫存!$A:$I,3,0),"")</f>
        <v/>
      </c>
      <c r="D999" s="54"/>
      <c r="E999" s="35" t="str">
        <f t="shared" si="30"/>
        <v/>
      </c>
      <c r="F999" s="45" t="str">
        <f>IFERROR(VLOOKUP(A999,庫存!$A:$I,4,0),"0")</f>
        <v>0</v>
      </c>
      <c r="G999" s="43" t="str">
        <f t="shared" si="31"/>
        <v/>
      </c>
      <c r="H999" s="24" t="str">
        <f>IFERROR(VLOOKUP(A999,庫存!$A:$I,8,0),"")</f>
        <v/>
      </c>
      <c r="I999" s="24" t="str">
        <f>IFERROR(VLOOKUP(A999,庫存!$A:$I,9,0),"")</f>
        <v/>
      </c>
    </row>
  </sheetData>
  <autoFilter ref="A1:I1" xr:uid="{C74E4DAE-F6EA-4A95-9BFD-29D59F0236AE}"/>
  <phoneticPr fontId="1" type="noConversion"/>
  <dataValidations disablePrompts="1" count="1">
    <dataValidation type="custom" allowBlank="1" showInputMessage="1" showErrorMessage="1" errorTitle="無效輸入" error="此值已存在，請輸入不重複的值。" sqref="A76:A77" xr:uid="{B82DDF02-7989-4F4A-A7F2-9D6CB699B9D6}">
      <formula1>COUNTIF(A:A,A80)=1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7A0BA-6E5B-4CB1-B619-3BE4EF11BAB9}">
  <sheetPr codeName="工作表5"/>
  <dimension ref="A1:J51"/>
  <sheetViews>
    <sheetView tabSelected="1" zoomScale="85" zoomScaleNormal="85" workbookViewId="0">
      <selection activeCell="J2" sqref="J2"/>
    </sheetView>
  </sheetViews>
  <sheetFormatPr defaultRowHeight="14.5" x14ac:dyDescent="0.3"/>
  <cols>
    <col min="1" max="1" width="12.796875" bestFit="1" customWidth="1"/>
    <col min="2" max="2" width="22.796875" bestFit="1" customWidth="1"/>
    <col min="3" max="3" width="107.8984375" bestFit="1" customWidth="1"/>
    <col min="4" max="4" width="15.3984375" bestFit="1" customWidth="1"/>
    <col min="5" max="5" width="8.19921875" bestFit="1" customWidth="1"/>
    <col min="6" max="6" width="11.8984375" bestFit="1" customWidth="1"/>
    <col min="7" max="7" width="8.69921875" bestFit="1" customWidth="1"/>
    <col min="8" max="8" width="7.5" bestFit="1" customWidth="1"/>
    <col min="9" max="9" width="15.19921875" bestFit="1" customWidth="1"/>
    <col min="10" max="10" width="18.8984375" bestFit="1" customWidth="1"/>
    <col min="11" max="11" width="18.69921875" bestFit="1" customWidth="1"/>
  </cols>
  <sheetData>
    <row r="1" spans="1:10" ht="26" x14ac:dyDescent="0.6">
      <c r="A1" s="59" t="s">
        <v>1150</v>
      </c>
      <c r="B1" s="60" t="s">
        <v>1151</v>
      </c>
      <c r="C1" s="60" t="s">
        <v>1152</v>
      </c>
      <c r="D1" s="59" t="s">
        <v>1153</v>
      </c>
      <c r="E1" s="64">
        <v>300</v>
      </c>
      <c r="F1" s="61" t="s">
        <v>1154</v>
      </c>
      <c r="G1" s="62" t="s">
        <v>1155</v>
      </c>
      <c r="H1" s="63" t="s">
        <v>1129</v>
      </c>
      <c r="I1" s="63" t="s">
        <v>1130</v>
      </c>
      <c r="J1" s="38"/>
    </row>
    <row r="2" spans="1:10" ht="15.5" x14ac:dyDescent="0.3">
      <c r="A2" s="53" t="s">
        <v>902</v>
      </c>
      <c r="B2" s="34" t="str">
        <f>IFERROR(VLOOKUP(A2,庫存!$A:$I,2,0),"")</f>
        <v>Resister 0805</v>
      </c>
      <c r="C2" s="34" t="str">
        <f>IFERROR(VLOOKUP(A2,庫存!$A:$I,3,0),"")</f>
        <v>RES/WR08X000PTL/0R/0805/150V/5%/1/8W/華新科</v>
      </c>
      <c r="D2" s="52">
        <v>5</v>
      </c>
      <c r="E2" s="35">
        <f t="shared" ref="E2:E51" si="0">IF(D2*$E$1=0,"",D2*$E$1)</f>
        <v>1500</v>
      </c>
      <c r="F2" s="45">
        <f>IFERROR(VLOOKUP(A2,庫存!$A:$I,4,0),"0")</f>
        <v>0</v>
      </c>
      <c r="G2" s="43">
        <f t="shared" ref="G2:G51" si="1">IFERROR(F2-E2,"")</f>
        <v>-1500</v>
      </c>
      <c r="H2" s="24" t="str">
        <f>IFERROR(VLOOKUP(A2,庫存!$A:$I,8,0),"")</f>
        <v>力德</v>
      </c>
      <c r="I2" s="24">
        <f>IFERROR(VLOOKUP(A2,庫存!$A:$I,9,0),"")</f>
        <v>0</v>
      </c>
      <c r="J2" s="24" t="e" vm="1">
        <v>#VALUE!</v>
      </c>
    </row>
    <row r="3" spans="1:10" ht="15.5" x14ac:dyDescent="0.3">
      <c r="A3" s="53" t="s">
        <v>904</v>
      </c>
      <c r="B3" s="34" t="str">
        <f>IFERROR(VLOOKUP(A3,庫存!$A:$I,2,0),"")</f>
        <v>Resister 1206~2512</v>
      </c>
      <c r="C3" s="34" t="str">
        <f>IFERROR(VLOOKUP(A3,庫存!$A:$I,3,0),"")</f>
        <v>RES/WR20X39R0FTL/39R/2010/200V/1%/1/4W以上/華新科</v>
      </c>
      <c r="D3" s="52">
        <v>15</v>
      </c>
      <c r="E3" s="35">
        <f t="shared" si="0"/>
        <v>4500</v>
      </c>
      <c r="F3" s="45">
        <f>IFERROR(VLOOKUP(A3,庫存!$A:$I,4,0),"0")</f>
        <v>266</v>
      </c>
      <c r="G3" s="43">
        <f t="shared" si="1"/>
        <v>-4234</v>
      </c>
      <c r="H3" s="24" t="str">
        <f>IFERROR(VLOOKUP(A3,庫存!$A:$I,8,0),"")</f>
        <v>力德</v>
      </c>
      <c r="I3" s="24">
        <f>IFERROR(VLOOKUP(A3,庫存!$A:$I,9,0),"")</f>
        <v>0</v>
      </c>
    </row>
    <row r="4" spans="1:10" ht="15.5" x14ac:dyDescent="0.3">
      <c r="A4" s="53" t="s">
        <v>906</v>
      </c>
      <c r="B4" s="34" t="str">
        <f>IFERROR(VLOOKUP(A4,庫存!$A:$I,2,0),"")</f>
        <v>Resister 0603</v>
      </c>
      <c r="C4" s="34" t="str">
        <f>IFERROR(VLOOKUP(A4,庫存!$A:$I,3,0),"")</f>
        <v>RES/WR06X1000FTL/100R/0603/75V/1%/1/10W/華新科</v>
      </c>
      <c r="D4" s="52">
        <v>35</v>
      </c>
      <c r="E4" s="35">
        <f t="shared" si="0"/>
        <v>10500</v>
      </c>
      <c r="F4" s="45">
        <f>IFERROR(VLOOKUP(A4,庫存!$A:$I,4,0),"0")</f>
        <v>9237</v>
      </c>
      <c r="G4" s="43">
        <f t="shared" si="1"/>
        <v>-1263</v>
      </c>
      <c r="H4" s="24" t="str">
        <f>IFERROR(VLOOKUP(A4,庫存!$A:$I,8,0),"")</f>
        <v>力德</v>
      </c>
      <c r="I4" s="24">
        <f>IFERROR(VLOOKUP(A4,庫存!$A:$I,9,0),"")</f>
        <v>0</v>
      </c>
    </row>
    <row r="5" spans="1:10" ht="15.5" x14ac:dyDescent="0.3">
      <c r="A5" s="53" t="s">
        <v>907</v>
      </c>
      <c r="B5" s="34" t="str">
        <f>IFERROR(VLOOKUP(A5,庫存!$A:$I,2,0),"")</f>
        <v>Resister 0805</v>
      </c>
      <c r="C5" s="34" t="str">
        <f>IFERROR(VLOOKUP(A5,庫存!$A:$I,3,0),"")</f>
        <v>RES/WR08X1000FTL/100R/0805/150V/1%/1/8W/華新科</v>
      </c>
      <c r="D5" s="52">
        <v>2</v>
      </c>
      <c r="E5" s="35">
        <f t="shared" si="0"/>
        <v>600</v>
      </c>
      <c r="F5" s="45">
        <f>IFERROR(VLOOKUP(A5,庫存!$A:$I,4,0),"0")</f>
        <v>0</v>
      </c>
      <c r="G5" s="43">
        <f t="shared" si="1"/>
        <v>-600</v>
      </c>
      <c r="H5" s="24" t="str">
        <f>IFERROR(VLOOKUP(A5,庫存!$A:$I,8,0),"")</f>
        <v>力德</v>
      </c>
      <c r="I5" s="24">
        <f>IFERROR(VLOOKUP(A5,庫存!$A:$I,9,0),"")</f>
        <v>0</v>
      </c>
    </row>
    <row r="6" spans="1:10" ht="15.5" x14ac:dyDescent="0.3">
      <c r="A6" s="53" t="s">
        <v>911</v>
      </c>
      <c r="B6" s="34" t="str">
        <f>IFERROR(VLOOKUP(A6,庫存!$A:$I,2,0),"")</f>
        <v>Resister 0805</v>
      </c>
      <c r="C6" s="34" t="str">
        <f>IFERROR(VLOOKUP(A6,庫存!$A:$I,3,0),"")</f>
        <v>RES/WR08X1001FTL/1K/0805/150V/1%/1/8W/華新科</v>
      </c>
      <c r="D6" s="52">
        <v>1</v>
      </c>
      <c r="E6" s="35">
        <f t="shared" si="0"/>
        <v>300</v>
      </c>
      <c r="F6" s="45">
        <f>IFERROR(VLOOKUP(A6,庫存!$A:$I,4,0),"0")</f>
        <v>0</v>
      </c>
      <c r="G6" s="43">
        <f t="shared" si="1"/>
        <v>-300</v>
      </c>
      <c r="H6" s="24" t="str">
        <f>IFERROR(VLOOKUP(A6,庫存!$A:$I,8,0),"")</f>
        <v>力德</v>
      </c>
      <c r="I6" s="24">
        <f>IFERROR(VLOOKUP(A6,庫存!$A:$I,9,0),"")</f>
        <v>0</v>
      </c>
    </row>
    <row r="7" spans="1:10" ht="15.5" x14ac:dyDescent="0.3">
      <c r="A7" s="53" t="s">
        <v>912</v>
      </c>
      <c r="B7" s="34" t="str">
        <f>IFERROR(VLOOKUP(A7,庫存!$A:$I,2,0),"")</f>
        <v>Resister 1206~2512</v>
      </c>
      <c r="C7" s="34" t="str">
        <f>IFERROR(VLOOKUP(A7,庫存!$A:$I,3,0),"")</f>
        <v>RES/FPF25FP-1001/1K/2512/300V/1%/2W/信昌</v>
      </c>
      <c r="D7" s="52">
        <v>6</v>
      </c>
      <c r="E7" s="35">
        <f t="shared" si="0"/>
        <v>1800</v>
      </c>
      <c r="F7" s="45">
        <f>IFERROR(VLOOKUP(A7,庫存!$A:$I,4,0),"0")</f>
        <v>0</v>
      </c>
      <c r="G7" s="43">
        <f t="shared" si="1"/>
        <v>-1800</v>
      </c>
      <c r="H7" s="24" t="str">
        <f>IFERROR(VLOOKUP(A7,庫存!$A:$I,8,0),"")</f>
        <v>力德</v>
      </c>
      <c r="I7" s="24">
        <f>IFERROR(VLOOKUP(A7,庫存!$A:$I,9,0),"")</f>
        <v>0</v>
      </c>
    </row>
    <row r="8" spans="1:10" ht="15.5" x14ac:dyDescent="0.3">
      <c r="A8" s="53" t="s">
        <v>914</v>
      </c>
      <c r="B8" s="34" t="str">
        <f>IFERROR(VLOOKUP(A8,庫存!$A:$I,2,0),"")</f>
        <v>Resister 0603</v>
      </c>
      <c r="C8" s="34" t="str">
        <f>IFERROR(VLOOKUP(A8,庫存!$A:$I,3,0),"")</f>
        <v>RES/WR06X4701FTL/4.7K/0603/75V/1%/1/10W/華新科</v>
      </c>
      <c r="D8" s="52">
        <v>6</v>
      </c>
      <c r="E8" s="35">
        <f t="shared" si="0"/>
        <v>1800</v>
      </c>
      <c r="F8" s="45">
        <f>IFERROR(VLOOKUP(A8,庫存!$A:$I,4,0),"0")</f>
        <v>52</v>
      </c>
      <c r="G8" s="43">
        <f t="shared" si="1"/>
        <v>-1748</v>
      </c>
      <c r="H8" s="24" t="str">
        <f>IFERROR(VLOOKUP(A8,庫存!$A:$I,8,0),"")</f>
        <v>力德</v>
      </c>
      <c r="I8" s="24">
        <f>IFERROR(VLOOKUP(A8,庫存!$A:$I,9,0),"")</f>
        <v>0</v>
      </c>
    </row>
    <row r="9" spans="1:10" ht="15.5" x14ac:dyDescent="0.3">
      <c r="A9" s="53" t="s">
        <v>915</v>
      </c>
      <c r="B9" s="34" t="str">
        <f>IFERROR(VLOOKUP(A9,庫存!$A:$I,2,0),"")</f>
        <v>Resister 0603</v>
      </c>
      <c r="C9" s="34" t="str">
        <f>IFERROR(VLOOKUP(A9,庫存!$A:$I,3,0),"")</f>
        <v>RES/WR06X103JTL/10K/0603/75V/5%/1/10W/華新科</v>
      </c>
      <c r="D9" s="52">
        <v>35</v>
      </c>
      <c r="E9" s="35">
        <f t="shared" si="0"/>
        <v>10500</v>
      </c>
      <c r="F9" s="45">
        <f>IFERROR(VLOOKUP(A9,庫存!$A:$I,4,0),"0")</f>
        <v>6235</v>
      </c>
      <c r="G9" s="43">
        <f t="shared" si="1"/>
        <v>-4265</v>
      </c>
      <c r="H9" s="24" t="str">
        <f>IFERROR(VLOOKUP(A9,庫存!$A:$I,8,0),"")</f>
        <v>力德</v>
      </c>
      <c r="I9" s="24">
        <f>IFERROR(VLOOKUP(A9,庫存!$A:$I,9,0),"")</f>
        <v>0</v>
      </c>
    </row>
    <row r="10" spans="1:10" ht="15.5" x14ac:dyDescent="0.3">
      <c r="A10" s="53" t="s">
        <v>916</v>
      </c>
      <c r="B10" s="34" t="str">
        <f>IFERROR(VLOOKUP(A10,庫存!$A:$I,2,0),"")</f>
        <v>Resister 0805</v>
      </c>
      <c r="C10" s="34" t="str">
        <f>IFERROR(VLOOKUP(A10,庫存!$A:$I,3,0),"")</f>
        <v>RES/WR08X1002FTL/10K/0805/150V/1%/1/8W/華新科</v>
      </c>
      <c r="D10" s="52">
        <v>3</v>
      </c>
      <c r="E10" s="35">
        <f t="shared" si="0"/>
        <v>900</v>
      </c>
      <c r="F10" s="45">
        <f>IFERROR(VLOOKUP(A10,庫存!$A:$I,4,0),"0")</f>
        <v>0</v>
      </c>
      <c r="G10" s="43">
        <f t="shared" si="1"/>
        <v>-900</v>
      </c>
      <c r="H10" s="24" t="str">
        <f>IFERROR(VLOOKUP(A10,庫存!$A:$I,8,0),"")</f>
        <v>力德</v>
      </c>
      <c r="I10" s="24">
        <f>IFERROR(VLOOKUP(A10,庫存!$A:$I,9,0),"")</f>
        <v>0</v>
      </c>
    </row>
    <row r="11" spans="1:10" ht="15.5" x14ac:dyDescent="0.3">
      <c r="A11" s="53" t="s">
        <v>157</v>
      </c>
      <c r="B11" s="34" t="str">
        <f>IFERROR(VLOOKUP(A11,庫存!$A:$I,2,0),"")</f>
        <v>Resister 0603</v>
      </c>
      <c r="C11" s="34" t="str">
        <f>IFERROR(VLOOKUP(A11,庫存!$A:$I,3,0),"")</f>
        <v>RES/WR06X1802FTL/18K/0603/75V/1%/1/10W/華新科</v>
      </c>
      <c r="D11" s="52">
        <v>1</v>
      </c>
      <c r="E11" s="35">
        <f t="shared" si="0"/>
        <v>300</v>
      </c>
      <c r="F11" s="45">
        <f>IFERROR(VLOOKUP(A11,庫存!$A:$I,4,0),"0")</f>
        <v>0</v>
      </c>
      <c r="G11" s="43">
        <f t="shared" si="1"/>
        <v>-300</v>
      </c>
      <c r="H11" s="24" t="str">
        <f>IFERROR(VLOOKUP(A11,庫存!$A:$I,8,0),"")</f>
        <v>力德</v>
      </c>
      <c r="I11" s="24">
        <f>IFERROR(VLOOKUP(A11,庫存!$A:$I,9,0),"")</f>
        <v>0</v>
      </c>
    </row>
    <row r="12" spans="1:10" ht="15.5" x14ac:dyDescent="0.3">
      <c r="A12" s="53" t="s">
        <v>918</v>
      </c>
      <c r="B12" s="34" t="str">
        <f>IFERROR(VLOOKUP(A12,庫存!$A:$I,2,0),"")</f>
        <v>Resister 0805</v>
      </c>
      <c r="C12" s="34" t="str">
        <f>IFERROR(VLOOKUP(A12,庫存!$A:$I,3,0),"")</f>
        <v>RES/WR08X2002FTL/20K/0805/150V/1%/1/8W/華新科</v>
      </c>
      <c r="D12" s="52">
        <v>1</v>
      </c>
      <c r="E12" s="35">
        <f t="shared" si="0"/>
        <v>300</v>
      </c>
      <c r="F12" s="45">
        <f>IFERROR(VLOOKUP(A12,庫存!$A:$I,4,0),"0")</f>
        <v>0</v>
      </c>
      <c r="G12" s="43">
        <f t="shared" si="1"/>
        <v>-300</v>
      </c>
      <c r="H12" s="24" t="str">
        <f>IFERROR(VLOOKUP(A12,庫存!$A:$I,8,0),"")</f>
        <v>力德</v>
      </c>
      <c r="I12" s="24">
        <f>IFERROR(VLOOKUP(A12,庫存!$A:$I,9,0),"")</f>
        <v>0</v>
      </c>
    </row>
    <row r="13" spans="1:10" ht="15.5" x14ac:dyDescent="0.3">
      <c r="A13" s="53" t="s">
        <v>919</v>
      </c>
      <c r="B13" s="34" t="str">
        <f>IFERROR(VLOOKUP(A13,庫存!$A:$I,2,0),"")</f>
        <v>Resister 0805</v>
      </c>
      <c r="C13" s="34" t="str">
        <f>IFERROR(VLOOKUP(A13,庫存!$A:$I,3,0),"")</f>
        <v>RES/WR08X2552FTL/25.5K/0805/150V/1%/1/8W/華新科</v>
      </c>
      <c r="D13" s="52">
        <v>1</v>
      </c>
      <c r="E13" s="35">
        <f t="shared" si="0"/>
        <v>300</v>
      </c>
      <c r="F13" s="45">
        <f>IFERROR(VLOOKUP(A13,庫存!$A:$I,4,0),"0")</f>
        <v>0</v>
      </c>
      <c r="G13" s="43">
        <f t="shared" si="1"/>
        <v>-300</v>
      </c>
      <c r="H13" s="24" t="str">
        <f>IFERROR(VLOOKUP(A13,庫存!$A:$I,8,0),"")</f>
        <v>力德</v>
      </c>
      <c r="I13" s="24">
        <f>IFERROR(VLOOKUP(A13,庫存!$A:$I,9,0),"")</f>
        <v>0</v>
      </c>
    </row>
    <row r="14" spans="1:10" ht="15.5" x14ac:dyDescent="0.3">
      <c r="A14" s="53" t="s">
        <v>922</v>
      </c>
      <c r="B14" s="34" t="str">
        <f>IFERROR(VLOOKUP(A14,庫存!$A:$I,2,0),"")</f>
        <v>Resister 0805</v>
      </c>
      <c r="C14" s="34" t="str">
        <f>IFERROR(VLOOKUP(A14,庫存!$A:$I,3,0),"")</f>
        <v>RES/WR08X5102FTL/51K/0805/150V/1%/1/8W/華新科</v>
      </c>
      <c r="D14" s="52">
        <v>3</v>
      </c>
      <c r="E14" s="35">
        <f t="shared" si="0"/>
        <v>900</v>
      </c>
      <c r="F14" s="45">
        <f>IFERROR(VLOOKUP(A14,庫存!$A:$I,4,0),"0")</f>
        <v>0</v>
      </c>
      <c r="G14" s="43">
        <f t="shared" si="1"/>
        <v>-900</v>
      </c>
      <c r="H14" s="24" t="str">
        <f>IFERROR(VLOOKUP(A14,庫存!$A:$I,8,0),"")</f>
        <v>力德</v>
      </c>
      <c r="I14" s="24">
        <f>IFERROR(VLOOKUP(A14,庫存!$A:$I,9,0),"")</f>
        <v>0</v>
      </c>
    </row>
    <row r="15" spans="1:10" ht="15.5" x14ac:dyDescent="0.3">
      <c r="A15" s="53" t="s">
        <v>156</v>
      </c>
      <c r="B15" s="34" t="str">
        <f>IFERROR(VLOOKUP(A15,庫存!$A:$I,2,0),"")</f>
        <v>Resister 0603</v>
      </c>
      <c r="C15" s="34" t="str">
        <f>IFERROR(VLOOKUP(A15,庫存!$A:$I,3,0),"")</f>
        <v>RES/WR06X5602FTL/56K/0603/75V/1%/1/10W/華新科</v>
      </c>
      <c r="D15" s="52">
        <v>1</v>
      </c>
      <c r="E15" s="35">
        <f t="shared" si="0"/>
        <v>300</v>
      </c>
      <c r="F15" s="45">
        <f>IFERROR(VLOOKUP(A15,庫存!$A:$I,4,0),"0")</f>
        <v>0</v>
      </c>
      <c r="G15" s="43">
        <f t="shared" si="1"/>
        <v>-300</v>
      </c>
      <c r="H15" s="24" t="str">
        <f>IFERROR(VLOOKUP(A15,庫存!$A:$I,8,0),"")</f>
        <v>力德</v>
      </c>
      <c r="I15" s="24">
        <f>IFERROR(VLOOKUP(A15,庫存!$A:$I,9,0),"")</f>
        <v>0</v>
      </c>
    </row>
    <row r="16" spans="1:10" ht="15.5" x14ac:dyDescent="0.3">
      <c r="A16" s="53" t="s">
        <v>924</v>
      </c>
      <c r="B16" s="34" t="str">
        <f>IFERROR(VLOOKUP(A16,庫存!$A:$I,2,0),"")</f>
        <v>Resister 0603</v>
      </c>
      <c r="C16" s="34" t="str">
        <f>IFERROR(VLOOKUP(A16,庫存!$A:$I,3,0),"")</f>
        <v>RES/WR06X1003FTL/100K/0603/75V/1%/1/10W/華新科</v>
      </c>
      <c r="D16" s="52">
        <v>30</v>
      </c>
      <c r="E16" s="35">
        <f t="shared" si="0"/>
        <v>9000</v>
      </c>
      <c r="F16" s="45">
        <f>IFERROR(VLOOKUP(A16,庫存!$A:$I,4,0),"0")</f>
        <v>0</v>
      </c>
      <c r="G16" s="43">
        <f t="shared" si="1"/>
        <v>-9000</v>
      </c>
      <c r="H16" s="24" t="str">
        <f>IFERROR(VLOOKUP(A16,庫存!$A:$I,8,0),"")</f>
        <v>力德</v>
      </c>
      <c r="I16" s="24">
        <f>IFERROR(VLOOKUP(A16,庫存!$A:$I,9,0),"")</f>
        <v>0</v>
      </c>
    </row>
    <row r="17" spans="1:9" ht="15.5" x14ac:dyDescent="0.3">
      <c r="A17" s="53" t="s">
        <v>140</v>
      </c>
      <c r="B17" s="34" t="str">
        <f>IFERROR(VLOOKUP(A17,庫存!$A:$I,2,0),"")</f>
        <v>Resister 0603</v>
      </c>
      <c r="C17" s="34" t="str">
        <f>IFERROR(VLOOKUP(A17,庫存!$A:$I,3,0),"")</f>
        <v>RES/WR06X1004FTL/1M/0603/75V/1%/1/10W/華新科</v>
      </c>
      <c r="D17" s="52">
        <v>15</v>
      </c>
      <c r="E17" s="35">
        <f t="shared" si="0"/>
        <v>4500</v>
      </c>
      <c r="F17" s="45">
        <f>IFERROR(VLOOKUP(A17,庫存!$A:$I,4,0),"0")</f>
        <v>2195</v>
      </c>
      <c r="G17" s="43">
        <f t="shared" si="1"/>
        <v>-2305</v>
      </c>
      <c r="H17" s="24" t="str">
        <f>IFERROR(VLOOKUP(A17,庫存!$A:$I,8,0),"")</f>
        <v>力德</v>
      </c>
      <c r="I17" s="24">
        <f>IFERROR(VLOOKUP(A17,庫存!$A:$I,9,0),"")</f>
        <v>0</v>
      </c>
    </row>
    <row r="18" spans="1:9" ht="15.5" x14ac:dyDescent="0.3">
      <c r="A18" s="53" t="s">
        <v>174</v>
      </c>
      <c r="B18" s="34" t="str">
        <f>IFERROR(VLOOKUP(A18,庫存!$A:$I,2,0),"")</f>
        <v>Resister 0805</v>
      </c>
      <c r="C18" s="34" t="str">
        <f>IFERROR(VLOOKUP(A18,庫存!$A:$I,3,0),"")</f>
        <v>RES/WR08X1004FTL/1M/0805/150V/1%/1/8W/華新科</v>
      </c>
      <c r="D18" s="52">
        <v>1</v>
      </c>
      <c r="E18" s="35">
        <f t="shared" si="0"/>
        <v>300</v>
      </c>
      <c r="F18" s="45">
        <f>IFERROR(VLOOKUP(A18,庫存!$A:$I,4,0),"0")</f>
        <v>0</v>
      </c>
      <c r="G18" s="43">
        <f t="shared" si="1"/>
        <v>-300</v>
      </c>
      <c r="H18" s="24" t="str">
        <f>IFERROR(VLOOKUP(A18,庫存!$A:$I,8,0),"")</f>
        <v>力德</v>
      </c>
      <c r="I18" s="24">
        <f>IFERROR(VLOOKUP(A18,庫存!$A:$I,9,0),"")</f>
        <v>0</v>
      </c>
    </row>
    <row r="19" spans="1:9" ht="15.5" x14ac:dyDescent="0.3">
      <c r="A19" s="53" t="s">
        <v>1114</v>
      </c>
      <c r="B19" s="34" t="str">
        <f>IFERROR(VLOOKUP(A19,庫存!$A:$I,2,0),"")</f>
        <v>Resister 0603</v>
      </c>
      <c r="C19" s="34" t="str">
        <f>IFERROR(VLOOKUP(A19,庫存!$A:$I,3,0),"")</f>
        <v>RES/WR06W1504FTL/1.5M/0603/50V/1%/1/10W/華新科</v>
      </c>
      <c r="D19" s="52">
        <v>1</v>
      </c>
      <c r="E19" s="35">
        <f t="shared" si="0"/>
        <v>300</v>
      </c>
      <c r="F19" s="45">
        <f>IFERROR(VLOOKUP(A19,庫存!$A:$I,4,0),"0")</f>
        <v>0</v>
      </c>
      <c r="G19" s="43">
        <f t="shared" si="1"/>
        <v>-300</v>
      </c>
      <c r="H19" s="24" t="str">
        <f>IFERROR(VLOOKUP(A19,庫存!$A:$I,8,0),"")</f>
        <v>力德</v>
      </c>
      <c r="I19" s="24">
        <f>IFERROR(VLOOKUP(A19,庫存!$A:$I,9,0),"")</f>
        <v>0</v>
      </c>
    </row>
    <row r="20" spans="1:9" ht="15.5" x14ac:dyDescent="0.3">
      <c r="A20" s="53" t="s">
        <v>934</v>
      </c>
      <c r="B20" s="34" t="str">
        <f>IFERROR(VLOOKUP(A20,庫存!$A:$I,2,0),"")</f>
        <v>Capacity 0603</v>
      </c>
      <c r="C20" s="34" t="str">
        <f>IFERROR(VLOOKUP(A20,庫存!$A:$I,3,0),"")</f>
        <v>Cap/30PF/0603/50V/5%/華新科</v>
      </c>
      <c r="D20" s="52">
        <v>3</v>
      </c>
      <c r="E20" s="35">
        <f t="shared" si="0"/>
        <v>900</v>
      </c>
      <c r="F20" s="45">
        <f>IFERROR(VLOOKUP(A20,庫存!$A:$I,4,0),"0")</f>
        <v>0</v>
      </c>
      <c r="G20" s="43">
        <f t="shared" si="1"/>
        <v>-900</v>
      </c>
      <c r="H20" s="24" t="str">
        <f>IFERROR(VLOOKUP(A20,庫存!$A:$I,8,0),"")</f>
        <v>力德</v>
      </c>
      <c r="I20" s="24">
        <f>IFERROR(VLOOKUP(A20,庫存!$A:$I,9,0),"")</f>
        <v>0</v>
      </c>
    </row>
    <row r="21" spans="1:9" ht="15.5" x14ac:dyDescent="0.3">
      <c r="A21" s="53" t="s">
        <v>935</v>
      </c>
      <c r="B21" s="34" t="str">
        <f>IFERROR(VLOOKUP(A21,庫存!$A:$I,2,0),"")</f>
        <v>Capacity 0603</v>
      </c>
      <c r="C21" s="34" t="str">
        <f>IFERROR(VLOOKUP(A21,庫存!$A:$I,3,0),"")</f>
        <v>Cap/56pF/0603/50V/5%/力德</v>
      </c>
      <c r="D21" s="52">
        <v>1</v>
      </c>
      <c r="E21" s="35">
        <f t="shared" si="0"/>
        <v>300</v>
      </c>
      <c r="F21" s="45">
        <f>IFERROR(VLOOKUP(A21,庫存!$A:$I,4,0),"0")</f>
        <v>0</v>
      </c>
      <c r="G21" s="43">
        <f t="shared" si="1"/>
        <v>-300</v>
      </c>
      <c r="H21" s="24" t="str">
        <f>IFERROR(VLOOKUP(A21,庫存!$A:$I,8,0),"")</f>
        <v>力德</v>
      </c>
      <c r="I21" s="24">
        <f>IFERROR(VLOOKUP(A21,庫存!$A:$I,9,0),"")</f>
        <v>0</v>
      </c>
    </row>
    <row r="22" spans="1:9" ht="15.5" x14ac:dyDescent="0.3">
      <c r="A22" s="53" t="s">
        <v>205</v>
      </c>
      <c r="B22" s="34" t="str">
        <f>IFERROR(VLOOKUP(A22,庫存!$A:$I,2,0),"")</f>
        <v>Capacity 0603</v>
      </c>
      <c r="C22" s="34" t="str">
        <f>IFERROR(VLOOKUP(A22,庫存!$A:$I,3,0),"")</f>
        <v>Cap/0.1uF/0603/50V/10%/華新科</v>
      </c>
      <c r="D22" s="52">
        <v>53</v>
      </c>
      <c r="E22" s="35">
        <f t="shared" si="0"/>
        <v>15900</v>
      </c>
      <c r="F22" s="45">
        <f>IFERROR(VLOOKUP(A22,庫存!$A:$I,4,0),"0")</f>
        <v>7815</v>
      </c>
      <c r="G22" s="43">
        <f t="shared" si="1"/>
        <v>-8085</v>
      </c>
      <c r="H22" s="24" t="str">
        <f>IFERROR(VLOOKUP(A22,庫存!$A:$I,8,0),"")</f>
        <v>力德</v>
      </c>
      <c r="I22" s="24">
        <f>IFERROR(VLOOKUP(A22,庫存!$A:$I,9,0),"")</f>
        <v>0</v>
      </c>
    </row>
    <row r="23" spans="1:9" ht="15.5" x14ac:dyDescent="0.3">
      <c r="A23" s="53" t="s">
        <v>945</v>
      </c>
      <c r="B23" s="34" t="str">
        <f>IFERROR(VLOOKUP(A23,庫存!$A:$I,2,0),"")</f>
        <v>Capacity 1206 ~1812</v>
      </c>
      <c r="C23" s="34" t="str">
        <f>IFERROR(VLOOKUP(A23,庫存!$A:$I,3,0),"")</f>
        <v>Cap/10uF/1206/50V/10%/力德</v>
      </c>
      <c r="D23" s="52">
        <v>7</v>
      </c>
      <c r="E23" s="35">
        <f t="shared" si="0"/>
        <v>2100</v>
      </c>
      <c r="F23" s="45">
        <f>IFERROR(VLOOKUP(A23,庫存!$A:$I,4,0),"0")</f>
        <v>1359</v>
      </c>
      <c r="G23" s="43">
        <f t="shared" si="1"/>
        <v>-741</v>
      </c>
      <c r="H23" s="24" t="str">
        <f>IFERROR(VLOOKUP(A23,庫存!$A:$I,8,0),"")</f>
        <v>力德</v>
      </c>
      <c r="I23" s="24">
        <f>IFERROR(VLOOKUP(A23,庫存!$A:$I,9,0),"")</f>
        <v>0</v>
      </c>
    </row>
    <row r="24" spans="1:9" ht="15.5" x14ac:dyDescent="0.3">
      <c r="A24" s="53" t="s">
        <v>259</v>
      </c>
      <c r="B24" s="34" t="str">
        <f>IFERROR(VLOOKUP(A24,庫存!$A:$I,2,0),"")</f>
        <v>Diode</v>
      </c>
      <c r="C24" s="34" t="str">
        <f>IFERROR(VLOOKUP(A24,庫存!$A:$I,3,0),"")</f>
        <v>Diode/SCS4148LWS-C/SOD-323L/100V/150mA/SECOS</v>
      </c>
      <c r="D24" s="52">
        <v>23</v>
      </c>
      <c r="E24" s="35">
        <f t="shared" si="0"/>
        <v>6900</v>
      </c>
      <c r="F24" s="45">
        <f>IFERROR(VLOOKUP(A24,庫存!$A:$I,4,0),"0")</f>
        <v>0</v>
      </c>
      <c r="G24" s="43">
        <f t="shared" si="1"/>
        <v>-6900</v>
      </c>
      <c r="H24" s="24" t="str">
        <f>IFERROR(VLOOKUP(A24,庫存!$A:$I,8,0),"")</f>
        <v>SECOS</v>
      </c>
      <c r="I24" s="24">
        <f>IFERROR(VLOOKUP(A24,庫存!$A:$I,9,0),"")</f>
        <v>0</v>
      </c>
    </row>
    <row r="25" spans="1:9" ht="15.5" x14ac:dyDescent="0.3">
      <c r="A25" s="53" t="s">
        <v>948</v>
      </c>
      <c r="B25" s="34" t="str">
        <f>IFERROR(VLOOKUP(A25,庫存!$A:$I,2,0),"")</f>
        <v>Schottky Diode</v>
      </c>
      <c r="C25" s="34" t="str">
        <f>IFERROR(VLOOKUP(A25,庫存!$A:$I,3,0),"")</f>
        <v>Schottky/SR510-H/SMB/DO-214AA/100V/5A/YEA SHIN</v>
      </c>
      <c r="D25" s="52">
        <v>6</v>
      </c>
      <c r="E25" s="35">
        <f t="shared" si="0"/>
        <v>1800</v>
      </c>
      <c r="F25" s="45">
        <f>IFERROR(VLOOKUP(A25,庫存!$A:$I,4,0),"0")</f>
        <v>842</v>
      </c>
      <c r="G25" s="43">
        <f t="shared" si="1"/>
        <v>-958</v>
      </c>
      <c r="H25" s="24">
        <f>IFERROR(VLOOKUP(A25,庫存!$A:$I,8,0),"")</f>
        <v>0</v>
      </c>
      <c r="I25" s="24">
        <f>IFERROR(VLOOKUP(A25,庫存!$A:$I,9,0),"")</f>
        <v>0</v>
      </c>
    </row>
    <row r="26" spans="1:9" ht="15.5" x14ac:dyDescent="0.3">
      <c r="A26" s="53" t="s">
        <v>949</v>
      </c>
      <c r="B26" s="34" t="str">
        <f>IFERROR(VLOOKUP(A26,庫存!$A:$I,2,0),"")</f>
        <v>Schottky Diode</v>
      </c>
      <c r="C26" s="34" t="str">
        <f>IFERROR(VLOOKUP(A26,庫存!$A:$I,3,0),"")</f>
        <v>Schottky/BAT54C-C/SOD-23/30V/200mA/SECOS</v>
      </c>
      <c r="D26" s="52">
        <v>1</v>
      </c>
      <c r="E26" s="35">
        <f t="shared" si="0"/>
        <v>300</v>
      </c>
      <c r="F26" s="45">
        <f>IFERROR(VLOOKUP(A26,庫存!$A:$I,4,0),"0")</f>
        <v>0</v>
      </c>
      <c r="G26" s="43">
        <f t="shared" si="1"/>
        <v>-300</v>
      </c>
      <c r="H26" s="24" t="str">
        <f>IFERROR(VLOOKUP(A26,庫存!$A:$I,8,0),"")</f>
        <v>SECOS</v>
      </c>
      <c r="I26" s="24">
        <f>IFERROR(VLOOKUP(A26,庫存!$A:$I,9,0),"")</f>
        <v>0</v>
      </c>
    </row>
    <row r="27" spans="1:9" ht="15.5" x14ac:dyDescent="0.3">
      <c r="A27" s="53" t="s">
        <v>950</v>
      </c>
      <c r="B27" s="34" t="str">
        <f>IFERROR(VLOOKUP(A27,庫存!$A:$I,2,0),"")</f>
        <v>Zener Diode</v>
      </c>
      <c r="C27" s="34" t="str">
        <f>IFERROR(VLOOKUP(A27,庫存!$A:$I,3,0),"")</f>
        <v>Zener/MM3Z5V6CW-C/SOT-323L(CA)/5.6V/5mA/SECOS</v>
      </c>
      <c r="D27" s="52">
        <v>22</v>
      </c>
      <c r="E27" s="35">
        <f t="shared" si="0"/>
        <v>6600</v>
      </c>
      <c r="F27" s="45">
        <f>IFERROR(VLOOKUP(A27,庫存!$A:$I,4,0),"0")</f>
        <v>4174</v>
      </c>
      <c r="G27" s="43">
        <f t="shared" si="1"/>
        <v>-2426</v>
      </c>
      <c r="H27" s="24" t="str">
        <f>IFERROR(VLOOKUP(A27,庫存!$A:$I,8,0),"")</f>
        <v>SECOS</v>
      </c>
      <c r="I27" s="24">
        <f>IFERROR(VLOOKUP(A27,庫存!$A:$I,9,0),"")</f>
        <v>0</v>
      </c>
    </row>
    <row r="28" spans="1:9" ht="15.5" x14ac:dyDescent="0.3">
      <c r="A28" s="53" t="s">
        <v>951</v>
      </c>
      <c r="B28" s="34" t="str">
        <f>IFERROR(VLOOKUP(A28,庫存!$A:$I,2,0),"")</f>
        <v>Zener Diode</v>
      </c>
      <c r="C28" s="34" t="str">
        <f>IFERROR(VLOOKUP(A28,庫存!$A:$I,3,0),"")</f>
        <v>Zener/BZD84C5V6/SOT-23(123)/5.6V/5mA/SECOS</v>
      </c>
      <c r="D28" s="52">
        <v>4</v>
      </c>
      <c r="E28" s="35">
        <f t="shared" si="0"/>
        <v>1200</v>
      </c>
      <c r="F28" s="45">
        <f>IFERROR(VLOOKUP(A28,庫存!$A:$I,4,0),"0")</f>
        <v>850</v>
      </c>
      <c r="G28" s="43">
        <f t="shared" si="1"/>
        <v>-350</v>
      </c>
      <c r="H28" s="24" t="str">
        <f>IFERROR(VLOOKUP(A28,庫存!$A:$I,8,0),"")</f>
        <v>SECOS</v>
      </c>
      <c r="I28" s="24">
        <f>IFERROR(VLOOKUP(A28,庫存!$A:$I,9,0),"")</f>
        <v>0</v>
      </c>
    </row>
    <row r="29" spans="1:9" ht="15.5" x14ac:dyDescent="0.3">
      <c r="A29" s="53" t="s">
        <v>953</v>
      </c>
      <c r="B29" s="34" t="str">
        <f>IFERROR(VLOOKUP(A29,庫存!$A:$I,2,0),"")</f>
        <v>Zener Diode</v>
      </c>
      <c r="C29" s="34" t="str">
        <f>IFERROR(VLOOKUP(A29,庫存!$A:$I,3,0),"")</f>
        <v>Zener/MM3Z18VCW-C/SOT-323L(CA)/18V/5mA/SECOS</v>
      </c>
      <c r="D29" s="52">
        <v>17</v>
      </c>
      <c r="E29" s="35">
        <f t="shared" si="0"/>
        <v>5100</v>
      </c>
      <c r="F29" s="45">
        <f>IFERROR(VLOOKUP(A29,庫存!$A:$I,4,0),"0")</f>
        <v>4744</v>
      </c>
      <c r="G29" s="43">
        <f t="shared" si="1"/>
        <v>-356</v>
      </c>
      <c r="H29" s="24" t="str">
        <f>IFERROR(VLOOKUP(A29,庫存!$A:$I,8,0),"")</f>
        <v>SECOS</v>
      </c>
      <c r="I29" s="24">
        <f>IFERROR(VLOOKUP(A29,庫存!$A:$I,9,0),"")</f>
        <v>0</v>
      </c>
    </row>
    <row r="30" spans="1:9" ht="15.5" x14ac:dyDescent="0.3">
      <c r="A30" s="53" t="s">
        <v>955</v>
      </c>
      <c r="B30" s="34" t="str">
        <f>IFERROR(VLOOKUP(A30,庫存!$A:$I,2,0),"")</f>
        <v>特殊電感</v>
      </c>
      <c r="C30" s="34" t="str">
        <f>IFERROR(VLOOKUP(A30,庫存!$A:$I,3,0),"")</f>
        <v>Bead/FB160808D601-LRH/0603/600Z/信昌</v>
      </c>
      <c r="D30" s="52">
        <v>2</v>
      </c>
      <c r="E30" s="35">
        <f t="shared" si="0"/>
        <v>600</v>
      </c>
      <c r="F30" s="45">
        <f>IFERROR(VLOOKUP(A30,庫存!$A:$I,4,0),"0")</f>
        <v>0</v>
      </c>
      <c r="G30" s="43">
        <f t="shared" si="1"/>
        <v>-600</v>
      </c>
      <c r="H30" s="24" t="str">
        <f>IFERROR(VLOOKUP(A30,庫存!$A:$I,8,0),"")</f>
        <v>力德</v>
      </c>
      <c r="I30" s="24">
        <f>IFERROR(VLOOKUP(A30,庫存!$A:$I,9,0),"")</f>
        <v>0</v>
      </c>
    </row>
    <row r="31" spans="1:9" ht="15.5" x14ac:dyDescent="0.3">
      <c r="A31" s="53" t="s">
        <v>959</v>
      </c>
      <c r="B31" s="34" t="str">
        <f>IFERROR(VLOOKUP(A31,庫存!$A:$I,2,0),"")</f>
        <v>MOSFET Signal N</v>
      </c>
      <c r="C31" s="34" t="str">
        <f>IFERROR(VLOOKUP(A31,庫存!$A:$I,3,0),"")</f>
        <v>N-MOS/2N7002/SOT-23-3(GSD)/60V/115mA/7.5ohmVth=2.1V/恩智浦</v>
      </c>
      <c r="D31" s="52">
        <v>5</v>
      </c>
      <c r="E31" s="35">
        <f t="shared" si="0"/>
        <v>1500</v>
      </c>
      <c r="F31" s="45">
        <f>IFERROR(VLOOKUP(A31,庫存!$A:$I,4,0),"0")</f>
        <v>1474</v>
      </c>
      <c r="G31" s="43">
        <f t="shared" si="1"/>
        <v>-26</v>
      </c>
      <c r="H31" s="24">
        <f>IFERROR(VLOOKUP(A31,庫存!$A:$I,8,0),"")</f>
        <v>0</v>
      </c>
      <c r="I31" s="24">
        <f>IFERROR(VLOOKUP(A31,庫存!$A:$I,9,0),"")</f>
        <v>0</v>
      </c>
    </row>
    <row r="32" spans="1:9" ht="15.5" x14ac:dyDescent="0.3">
      <c r="A32" s="53" t="s">
        <v>961</v>
      </c>
      <c r="B32" s="34" t="str">
        <f>IFERROR(VLOOKUP(A32,庫存!$A:$I,2,0),"")</f>
        <v>MOSFET Signal N</v>
      </c>
      <c r="C32" s="34" t="str">
        <f>IFERROR(VLOOKUP(A32,庫存!$A:$I,3,0),"")</f>
        <v>N-MOS/AP2344GN-HF/SOT-23-3(GSD)/20V/6.4A/22mohm/Vth=max1V/晶偉</v>
      </c>
      <c r="D32" s="52">
        <v>15</v>
      </c>
      <c r="E32" s="35">
        <f t="shared" si="0"/>
        <v>4500</v>
      </c>
      <c r="F32" s="45">
        <f>IFERROR(VLOOKUP(A32,庫存!$A:$I,4,0),"0")</f>
        <v>0</v>
      </c>
      <c r="G32" s="43">
        <f t="shared" si="1"/>
        <v>-4500</v>
      </c>
      <c r="H32" s="24" t="str">
        <f>IFERROR(VLOOKUP(A32,庫存!$A:$I,8,0),"")</f>
        <v>晶偉</v>
      </c>
      <c r="I32" s="24">
        <f>IFERROR(VLOOKUP(A32,庫存!$A:$I,9,0),"")</f>
        <v>0</v>
      </c>
    </row>
    <row r="33" spans="1:9" ht="15.5" x14ac:dyDescent="0.3">
      <c r="A33" s="56" t="s">
        <v>1119</v>
      </c>
      <c r="B33" s="34" t="str">
        <f>IFERROR(VLOOKUP(A33,庫存!$A:$I,2,0),"")</f>
        <v>MOSFET POWER N</v>
      </c>
      <c r="C33" s="34" t="str">
        <f>IFERROR(VLOOKUP(A33,庫存!$A:$I,3,0),"")</f>
        <v>N-MOS/IMN009N10T/TOLL-8L/100V 廣閎</v>
      </c>
      <c r="D33" s="52">
        <v>12</v>
      </c>
      <c r="E33" s="35">
        <f t="shared" si="0"/>
        <v>3600</v>
      </c>
      <c r="F33" s="45">
        <f>IFERROR(VLOOKUP(A33,庫存!$A:$I,4,0),"0")</f>
        <v>2400</v>
      </c>
      <c r="G33" s="43">
        <f t="shared" si="1"/>
        <v>-1200</v>
      </c>
      <c r="H33" s="24" t="str">
        <f>IFERROR(VLOOKUP(A33,庫存!$A:$I,8,0),"")</f>
        <v>廣閎</v>
      </c>
      <c r="I33" s="24">
        <f>IFERROR(VLOOKUP(A33,庫存!$A:$I,9,0),"")</f>
        <v>0</v>
      </c>
    </row>
    <row r="34" spans="1:9" ht="15.5" x14ac:dyDescent="0.3">
      <c r="A34" s="56" t="s">
        <v>1122</v>
      </c>
      <c r="B34" s="34" t="str">
        <f>IFERROR(VLOOKUP(A34,庫存!$A:$I,2,0),"")</f>
        <v>MOSFET POWER N</v>
      </c>
      <c r="C34" s="34" t="str">
        <f>IFERROR(VLOOKUP(A34,庫存!$A:$I,3,0),"")</f>
        <v>N-MOS/IMN035N15T/150V/廣閎</v>
      </c>
      <c r="D34" s="53">
        <v>12</v>
      </c>
      <c r="E34" s="35">
        <f t="shared" si="0"/>
        <v>3600</v>
      </c>
      <c r="F34" s="45">
        <f>IFERROR(VLOOKUP(A34,庫存!$A:$I,4,0),"0")</f>
        <v>400</v>
      </c>
      <c r="G34" s="43">
        <f t="shared" si="1"/>
        <v>-3200</v>
      </c>
      <c r="H34" s="24" t="str">
        <f>IFERROR(VLOOKUP(A34,庫存!$A:$I,8,0),"")</f>
        <v>廣閎</v>
      </c>
      <c r="I34" s="24">
        <f>IFERROR(VLOOKUP(A34,庫存!$A:$I,9,0),"")</f>
        <v>0</v>
      </c>
    </row>
    <row r="35" spans="1:9" ht="15.5" x14ac:dyDescent="0.3">
      <c r="A35" s="53" t="s">
        <v>963</v>
      </c>
      <c r="B35" s="34" t="str">
        <f>IFERROR(VLOOKUP(A35,庫存!$A:$I,2,0),"")</f>
        <v>MOSFET Signal P</v>
      </c>
      <c r="C35" s="34" t="str">
        <f>IFERROR(VLOOKUP(A35,庫存!$A:$I,3,0),"")</f>
        <v>P-MOS/PM9353NS/SOT-23-3(GSD)/100V/850mA/644mohmVth=1.8V/立捷</v>
      </c>
      <c r="D35" s="52">
        <v>4</v>
      </c>
      <c r="E35" s="35">
        <f t="shared" si="0"/>
        <v>1200</v>
      </c>
      <c r="F35" s="45">
        <f>IFERROR(VLOOKUP(A35,庫存!$A:$I,4,0),"0")</f>
        <v>563</v>
      </c>
      <c r="G35" s="43">
        <f t="shared" si="1"/>
        <v>-637</v>
      </c>
      <c r="H35" s="24">
        <f>IFERROR(VLOOKUP(A35,庫存!$A:$I,8,0),"")</f>
        <v>0</v>
      </c>
      <c r="I35" s="24">
        <f>IFERROR(VLOOKUP(A35,庫存!$A:$I,9,0),"")</f>
        <v>0</v>
      </c>
    </row>
    <row r="36" spans="1:9" ht="15.5" x14ac:dyDescent="0.3">
      <c r="A36" s="53" t="s">
        <v>964</v>
      </c>
      <c r="B36" s="34" t="str">
        <f>IFERROR(VLOOKUP(A36,庫存!$A:$I,2,0),"")</f>
        <v>MOSFET Signal P</v>
      </c>
      <c r="C36" s="34" t="str">
        <f>IFERROR(VLOOKUP(A36,庫存!$A:$I,3,0),"")</f>
        <v>P-MOS/ZVP3310F/SOT-23-3GSD/100V/75mA/20ohmVth=3.5V/達爾</v>
      </c>
      <c r="D36" s="52">
        <v>6</v>
      </c>
      <c r="E36" s="35">
        <f t="shared" si="0"/>
        <v>1800</v>
      </c>
      <c r="F36" s="45">
        <f>IFERROR(VLOOKUP(A36,庫存!$A:$I,4,0),"0")</f>
        <v>33</v>
      </c>
      <c r="G36" s="43">
        <f t="shared" si="1"/>
        <v>-1767</v>
      </c>
      <c r="H36" s="24">
        <f>IFERROR(VLOOKUP(A36,庫存!$A:$I,8,0),"")</f>
        <v>0</v>
      </c>
      <c r="I36" s="24">
        <f>IFERROR(VLOOKUP(A36,庫存!$A:$I,9,0),"")</f>
        <v>0</v>
      </c>
    </row>
    <row r="37" spans="1:9" ht="15.5" x14ac:dyDescent="0.3">
      <c r="A37" s="53" t="s">
        <v>965</v>
      </c>
      <c r="B37" s="34" t="str">
        <f>IFERROR(VLOOKUP(A37,庫存!$A:$I,2,0),"")</f>
        <v>FUSE SMD</v>
      </c>
      <c r="C37" s="34" t="str">
        <f>IFERROR(VLOOKUP(A37,庫存!$A:$I,3,0),"")</f>
        <v>FUSE/CLM3820P5045/3820/VOP 43.7 ~ 62.0 Vdc/Irated 45A/Rheater 38.5 ~ 68.0/聚鼎</v>
      </c>
      <c r="D37" s="52">
        <v>6</v>
      </c>
      <c r="E37" s="35">
        <f t="shared" si="0"/>
        <v>1800</v>
      </c>
      <c r="F37" s="45">
        <f>IFERROR(VLOOKUP(A37,庫存!$A:$I,4,0),"0")</f>
        <v>248</v>
      </c>
      <c r="G37" s="43">
        <f t="shared" si="1"/>
        <v>-1552</v>
      </c>
      <c r="H37" s="24">
        <f>IFERROR(VLOOKUP(A37,庫存!$A:$I,8,0),"")</f>
        <v>0</v>
      </c>
      <c r="I37" s="24">
        <f>IFERROR(VLOOKUP(A37,庫存!$A:$I,9,0),"")</f>
        <v>0</v>
      </c>
    </row>
    <row r="38" spans="1:9" ht="15.5" x14ac:dyDescent="0.3">
      <c r="A38" s="53" t="s">
        <v>1117</v>
      </c>
      <c r="B38" s="34" t="str">
        <f>IFERROR(VLOOKUP(A38,庫存!$A:$I,2,0),"")</f>
        <v>FUSE SMD</v>
      </c>
      <c r="C38" s="34" t="str">
        <f>IFERROR(VLOOKUP(A38,庫存!$A:$I,3,0),"")</f>
        <v>FUSE/SMFF2410P1000/2410/125VDC/10A//聚鼎</v>
      </c>
      <c r="D38" s="52">
        <v>1</v>
      </c>
      <c r="E38" s="35">
        <f t="shared" si="0"/>
        <v>300</v>
      </c>
      <c r="F38" s="45">
        <f>IFERROR(VLOOKUP(A38,庫存!$A:$I,4,0),"0")</f>
        <v>0</v>
      </c>
      <c r="G38" s="43">
        <f t="shared" si="1"/>
        <v>-300</v>
      </c>
      <c r="H38" s="24">
        <f>IFERROR(VLOOKUP(A38,庫存!$A:$I,8,0),"")</f>
        <v>0</v>
      </c>
      <c r="I38" s="24">
        <f>IFERROR(VLOOKUP(A38,庫存!$A:$I,9,0),"")</f>
        <v>0</v>
      </c>
    </row>
    <row r="39" spans="1:9" ht="15.5" x14ac:dyDescent="0.3">
      <c r="A39" s="53" t="s">
        <v>967</v>
      </c>
      <c r="B39" s="34" t="str">
        <f>IFERROR(VLOOKUP(A39,庫存!$A:$I,2,0),"")</f>
        <v>FUSE SMD</v>
      </c>
      <c r="C39" s="34" t="str">
        <f>IFERROR(VLOOKUP(A39,庫存!$A:$I,3,0),"")</f>
        <v>FUSE/SMFF2410P200/2410/125VDC/2A//聚鼎</v>
      </c>
      <c r="D39" s="52">
        <v>1</v>
      </c>
      <c r="E39" s="35">
        <f t="shared" si="0"/>
        <v>300</v>
      </c>
      <c r="F39" s="45">
        <f>IFERROR(VLOOKUP(A39,庫存!$A:$I,4,0),"0")</f>
        <v>0</v>
      </c>
      <c r="G39" s="43">
        <f t="shared" si="1"/>
        <v>-300</v>
      </c>
      <c r="H39" s="24">
        <f>IFERROR(VLOOKUP(A39,庫存!$A:$I,8,0),"")</f>
        <v>0</v>
      </c>
      <c r="I39" s="24">
        <f>IFERROR(VLOOKUP(A39,庫存!$A:$I,9,0),"")</f>
        <v>0</v>
      </c>
    </row>
    <row r="40" spans="1:9" ht="15.5" x14ac:dyDescent="0.3">
      <c r="A40" s="53" t="s">
        <v>970</v>
      </c>
      <c r="B40" s="34" t="str">
        <f>IFERROR(VLOOKUP(A40,庫存!$A:$I,2,0),"")</f>
        <v>Contact switch</v>
      </c>
      <c r="C40" s="34" t="str">
        <f>IFERROR(VLOOKUP(A40,庫存!$A:$I,3,0),"")</f>
        <v>PUSHBUTTON/TSSA-3L 8mm/PB10-SMD/12V/50mA/200mohm/6x6mm/華傑</v>
      </c>
      <c r="D40" s="52">
        <v>1</v>
      </c>
      <c r="E40" s="35">
        <f t="shared" si="0"/>
        <v>300</v>
      </c>
      <c r="F40" s="45">
        <f>IFERROR(VLOOKUP(A40,庫存!$A:$I,4,0),"0")</f>
        <v>9</v>
      </c>
      <c r="G40" s="43">
        <f t="shared" si="1"/>
        <v>-291</v>
      </c>
      <c r="H40" s="24">
        <f>IFERROR(VLOOKUP(A40,庫存!$A:$I,8,0),"")</f>
        <v>0</v>
      </c>
      <c r="I40" s="24">
        <f>IFERROR(VLOOKUP(A40,庫存!$A:$I,9,0),"")</f>
        <v>0</v>
      </c>
    </row>
    <row r="41" spans="1:9" ht="15.5" x14ac:dyDescent="0.3">
      <c r="A41" s="53" t="s">
        <v>971</v>
      </c>
      <c r="B41" s="34" t="str">
        <f>IFERROR(VLOOKUP(A41,庫存!$A:$I,2,0),"")</f>
        <v>MCU</v>
      </c>
      <c r="C41" s="34" t="str">
        <f>IFERROR(VLOOKUP(A41,庫存!$A:$I,3,0),"")</f>
        <v>IC/MCU/NUC230LD2AE/LQFP48/5.5V/32bit/64KB /72MHz/15.8mm×15.8mm/NUVOTON</v>
      </c>
      <c r="D41" s="52">
        <v>1</v>
      </c>
      <c r="E41" s="35">
        <f t="shared" si="0"/>
        <v>300</v>
      </c>
      <c r="F41" s="45">
        <f>IFERROR(VLOOKUP(A41,庫存!$A:$I,4,0),"0")</f>
        <v>161</v>
      </c>
      <c r="G41" s="43">
        <f t="shared" si="1"/>
        <v>-139</v>
      </c>
      <c r="H41" s="24">
        <f>IFERROR(VLOOKUP(A41,庫存!$A:$I,8,0),"")</f>
        <v>0</v>
      </c>
      <c r="I41" s="24">
        <f>IFERROR(VLOOKUP(A41,庫存!$A:$I,9,0),"")</f>
        <v>0</v>
      </c>
    </row>
    <row r="42" spans="1:9" ht="15.5" x14ac:dyDescent="0.3">
      <c r="A42" s="53" t="s">
        <v>973</v>
      </c>
      <c r="B42" s="34" t="str">
        <f>IFERROR(VLOOKUP(A42,庫存!$A:$I,2,0),"")</f>
        <v>Gauge</v>
      </c>
      <c r="C42" s="34" t="str">
        <f>IFERROR(VLOOKUP(A42,庫存!$A:$I,3,0),"")</f>
        <v>IC/BatteryManagement/BQ7694003DBTR/TSSOP-44/25 V/40 uA/10.9mm*6.2mm/Texas Instruments</v>
      </c>
      <c r="D42" s="52">
        <v>1</v>
      </c>
      <c r="E42" s="35">
        <f t="shared" si="0"/>
        <v>300</v>
      </c>
      <c r="F42" s="45">
        <f>IFERROR(VLOOKUP(A42,庫存!$A:$I,4,0),"0")</f>
        <v>112</v>
      </c>
      <c r="G42" s="43">
        <f t="shared" si="1"/>
        <v>-188</v>
      </c>
      <c r="H42" s="24">
        <f>IFERROR(VLOOKUP(A42,庫存!$A:$I,8,0),"")</f>
        <v>0</v>
      </c>
      <c r="I42" s="24">
        <f>IFERROR(VLOOKUP(A42,庫存!$A:$I,9,0),"")</f>
        <v>0</v>
      </c>
    </row>
    <row r="43" spans="1:9" ht="15.5" x14ac:dyDescent="0.3">
      <c r="A43" s="53" t="s">
        <v>1109</v>
      </c>
      <c r="B43" s="34" t="str">
        <f>IFERROR(VLOOKUP(A43,庫存!$A:$I,2,0),"")</f>
        <v>Protection IC</v>
      </c>
      <c r="C43" s="34" t="str">
        <f>IFERROR(VLOOKUP(A43,庫存!$A:$I,3,0),"")</f>
        <v>IC/Battery Management/S-8215AAV-K8T2U/TMSOP-8/OCV4.3V/ABLIC</v>
      </c>
      <c r="D43" s="52">
        <v>3</v>
      </c>
      <c r="E43" s="35">
        <f t="shared" si="0"/>
        <v>900</v>
      </c>
      <c r="F43" s="45">
        <f>IFERROR(VLOOKUP(A43,庫存!$A:$I,4,0),"0")</f>
        <v>0</v>
      </c>
      <c r="G43" s="43">
        <f t="shared" si="1"/>
        <v>-900</v>
      </c>
      <c r="H43" s="24" t="str">
        <f>IFERROR(VLOOKUP(A43,庫存!$A:$I,8,0),"")</f>
        <v>澧村</v>
      </c>
      <c r="I43" s="24">
        <f>IFERROR(VLOOKUP(A43,庫存!$A:$I,9,0),"")</f>
        <v>0</v>
      </c>
    </row>
    <row r="44" spans="1:9" ht="15.5" x14ac:dyDescent="0.3">
      <c r="A44" s="53" t="s">
        <v>1105</v>
      </c>
      <c r="B44" s="34" t="str">
        <f>IFERROR(VLOOKUP(A44,庫存!$A:$I,2,0),"")</f>
        <v>Communication IC</v>
      </c>
      <c r="C44" s="34" t="str">
        <f>IFERROR(VLOOKUP(A44,庫存!$A:$I,3,0),"")</f>
        <v>IC/RS-232/MAX232EIPWR/TSSOP16/TI</v>
      </c>
      <c r="D44" s="52">
        <v>1</v>
      </c>
      <c r="E44" s="35">
        <f t="shared" si="0"/>
        <v>300</v>
      </c>
      <c r="F44" s="45">
        <f>IFERROR(VLOOKUP(A44,庫存!$A:$I,4,0),"0")</f>
        <v>0</v>
      </c>
      <c r="G44" s="43">
        <f t="shared" si="1"/>
        <v>-300</v>
      </c>
      <c r="H44" s="24">
        <f>IFERROR(VLOOKUP(A44,庫存!$A:$I,8,0),"")</f>
        <v>0</v>
      </c>
      <c r="I44" s="24">
        <f>IFERROR(VLOOKUP(A44,庫存!$A:$I,9,0),"")</f>
        <v>0</v>
      </c>
    </row>
    <row r="45" spans="1:9" ht="15.5" x14ac:dyDescent="0.3">
      <c r="A45" s="53" t="s">
        <v>976</v>
      </c>
      <c r="B45" s="34" t="str">
        <f>IFERROR(VLOOKUP(A45,庫存!$A:$I,2,0),"")</f>
        <v>Communication IC</v>
      </c>
      <c r="C45" s="34" t="str">
        <f>IFERROR(VLOOKUP(A45,庫存!$A:$I,3,0),"")</f>
        <v>IC/ Interface/ISO1450DW/SOIC-16/5.5V/60mA/10.6mm×7.5mm/TexasInstruments</v>
      </c>
      <c r="D45" s="52">
        <v>1</v>
      </c>
      <c r="E45" s="35">
        <f t="shared" si="0"/>
        <v>300</v>
      </c>
      <c r="F45" s="45">
        <f>IFERROR(VLOOKUP(A45,庫存!$A:$I,4,0),"0")</f>
        <v>213</v>
      </c>
      <c r="G45" s="43">
        <f t="shared" si="1"/>
        <v>-87</v>
      </c>
      <c r="H45" s="24">
        <f>IFERROR(VLOOKUP(A45,庫存!$A:$I,8,0),"")</f>
        <v>0</v>
      </c>
      <c r="I45" s="24">
        <f>IFERROR(VLOOKUP(A45,庫存!$A:$I,9,0),"")</f>
        <v>0</v>
      </c>
    </row>
    <row r="46" spans="1:9" ht="15.5" x14ac:dyDescent="0.3">
      <c r="A46" s="53" t="s">
        <v>482</v>
      </c>
      <c r="B46" s="34" t="str">
        <f>IFERROR(VLOOKUP(A46,庫存!$A:$I,2,0),"")</f>
        <v>光耦合器</v>
      </c>
      <c r="C46" s="34" t="str">
        <f>IFERROR(VLOOKUP(A46,庫存!$A:$I,3,0),"")</f>
        <v>Photocoupler/ISOM8710/DFF0005A-C01/VCC6V/IF25mA/PDI75mW/TI</v>
      </c>
      <c r="D46" s="52">
        <v>2</v>
      </c>
      <c r="E46" s="35">
        <f t="shared" si="0"/>
        <v>600</v>
      </c>
      <c r="F46" s="45">
        <f>IFERROR(VLOOKUP(A46,庫存!$A:$I,4,0),"0")</f>
        <v>0</v>
      </c>
      <c r="G46" s="43">
        <f t="shared" si="1"/>
        <v>-600</v>
      </c>
      <c r="H46" s="24">
        <f>IFERROR(VLOOKUP(A46,庫存!$A:$I,8,0),"")</f>
        <v>0</v>
      </c>
      <c r="I46" s="24">
        <f>IFERROR(VLOOKUP(A46,庫存!$A:$I,9,0),"")</f>
        <v>0</v>
      </c>
    </row>
    <row r="47" spans="1:9" ht="15.5" x14ac:dyDescent="0.3">
      <c r="A47" s="53" t="s">
        <v>984</v>
      </c>
      <c r="B47" s="34" t="str">
        <f>IFERROR(VLOOKUP(A47,庫存!$A:$I,2,0),"")</f>
        <v>Other Connector</v>
      </c>
      <c r="C47" s="34" t="str">
        <f>IFERROR(VLOOKUP(A47,庫存!$A:$I,3,0),"")</f>
        <v>Connector/P-831/DIP/85A/8.00 * 10.80/町洋</v>
      </c>
      <c r="D47" s="52">
        <v>8</v>
      </c>
      <c r="E47" s="35">
        <f t="shared" si="0"/>
        <v>2400</v>
      </c>
      <c r="F47" s="45">
        <f>IFERROR(VLOOKUP(A47,庫存!$A:$I,4,0),"0")</f>
        <v>0</v>
      </c>
      <c r="G47" s="43">
        <f t="shared" si="1"/>
        <v>-2400</v>
      </c>
      <c r="H47" s="24" t="str">
        <f>IFERROR(VLOOKUP(A47,庫存!$A:$I,8,0),"")</f>
        <v>町洋</v>
      </c>
      <c r="I47" s="24">
        <f>IFERROR(VLOOKUP(A47,庫存!$A:$I,9,0),"")</f>
        <v>0</v>
      </c>
    </row>
    <row r="48" spans="1:9" ht="15.5" x14ac:dyDescent="0.3">
      <c r="A48" s="53" t="s">
        <v>1131</v>
      </c>
      <c r="B48" s="34" t="str">
        <f>IFERROR(VLOOKUP(A48,庫存!$A:$I,2,0),"")</f>
        <v>Connector</v>
      </c>
      <c r="C48" s="34" t="str">
        <f>IFERROR(VLOOKUP(A48,庫存!$A:$I,3,0),"")</f>
        <v>Wafer/CHEB200S030-CF10043/2*15PIN/180deg-Dip/2.0mm/承洧</v>
      </c>
      <c r="D48" s="52">
        <v>1</v>
      </c>
      <c r="E48" s="35">
        <f t="shared" si="0"/>
        <v>300</v>
      </c>
      <c r="F48" s="45">
        <f>IFERROR(VLOOKUP(A48,庫存!$A:$I,4,0),"0")</f>
        <v>0</v>
      </c>
      <c r="G48" s="43">
        <f t="shared" si="1"/>
        <v>-300</v>
      </c>
      <c r="H48" s="24" t="str">
        <f>IFERROR(VLOOKUP(A48,庫存!$A:$I,8,0),"")</f>
        <v>承洧</v>
      </c>
      <c r="I48" s="24">
        <f>IFERROR(VLOOKUP(A48,庫存!$A:$I,9,0),"")</f>
        <v>0</v>
      </c>
    </row>
    <row r="49" spans="1:9" ht="15.5" x14ac:dyDescent="0.3">
      <c r="A49" s="53" t="s">
        <v>986</v>
      </c>
      <c r="B49" s="34" t="str">
        <f>IFERROR(VLOOKUP(A49,庫存!$A:$I,2,0),"")</f>
        <v>Wafer Connector</v>
      </c>
      <c r="C49" s="34" t="str">
        <f>IFERROR(VLOOKUP(A49,庫存!$A:$I,3,0),"")</f>
        <v>Wafer/CX-W250-02/2PIN/180deg-Dip/2.5mm/承洧</v>
      </c>
      <c r="D49" s="52">
        <v>7</v>
      </c>
      <c r="E49" s="35">
        <f t="shared" si="0"/>
        <v>2100</v>
      </c>
      <c r="F49" s="45">
        <f>IFERROR(VLOOKUP(A49,庫存!$A:$I,4,0),"0")</f>
        <v>210</v>
      </c>
      <c r="G49" s="43">
        <f t="shared" si="1"/>
        <v>-1890</v>
      </c>
      <c r="H49" s="24" t="str">
        <f>IFERROR(VLOOKUP(A49,庫存!$A:$I,8,0),"")</f>
        <v>承洧</v>
      </c>
      <c r="I49" s="24">
        <f>IFERROR(VLOOKUP(A49,庫存!$A:$I,9,0),"")</f>
        <v>0</v>
      </c>
    </row>
    <row r="50" spans="1:9" ht="15.5" x14ac:dyDescent="0.3">
      <c r="A50" s="53" t="s">
        <v>987</v>
      </c>
      <c r="B50" s="34" t="str">
        <f>IFERROR(VLOOKUP(A50,庫存!$A:$I,2,0),"")</f>
        <v>Wafer Connector</v>
      </c>
      <c r="C50" s="34" t="str">
        <f>IFERROR(VLOOKUP(A50,庫存!$A:$I,3,0),"")</f>
        <v>Wafer/CX-W250-04/4PIN/180deg-Dip/2.5mm/承洧</v>
      </c>
      <c r="D50" s="52">
        <v>7</v>
      </c>
      <c r="E50" s="35">
        <f t="shared" si="0"/>
        <v>2100</v>
      </c>
      <c r="F50" s="45">
        <f>IFERROR(VLOOKUP(A50,庫存!$A:$I,4,0),"0")</f>
        <v>700</v>
      </c>
      <c r="G50" s="43">
        <f t="shared" si="1"/>
        <v>-1400</v>
      </c>
      <c r="H50" s="24" t="str">
        <f>IFERROR(VLOOKUP(A50,庫存!$A:$I,8,0),"")</f>
        <v>承洧</v>
      </c>
      <c r="I50" s="24">
        <f>IFERROR(VLOOKUP(A50,庫存!$A:$I,9,0),"")</f>
        <v>0</v>
      </c>
    </row>
    <row r="51" spans="1:9" ht="15.5" x14ac:dyDescent="0.3">
      <c r="A51" s="53" t="s">
        <v>21</v>
      </c>
      <c r="B51" s="34" t="str">
        <f>IFERROR(VLOOKUP(A51,庫存!$A:$I,2,0),"")</f>
        <v>Convert IC</v>
      </c>
      <c r="C51" s="34" t="str">
        <f>IFERROR(VLOOKUP(A51,庫存!$A:$I,3,0),"")</f>
        <v>IC/ISO 5V/B0505s-1wR3/4-SIP 模組/5V/200mA/11.6mm x 6.0mm x 10.2mm/Mornsun</v>
      </c>
      <c r="D51" s="52">
        <v>1</v>
      </c>
      <c r="E51" s="35">
        <f t="shared" si="0"/>
        <v>300</v>
      </c>
      <c r="F51" s="45">
        <f>IFERROR(VLOOKUP(A51,庫存!$A:$I,4,0),"0")</f>
        <v>0</v>
      </c>
      <c r="G51" s="43">
        <f t="shared" si="1"/>
        <v>-300</v>
      </c>
      <c r="H51" s="24">
        <f>IFERROR(VLOOKUP(A51,庫存!$A:$I,8,0),"")</f>
        <v>0</v>
      </c>
      <c r="I51" s="24">
        <f>IFERROR(VLOOKUP(A51,庫存!$A:$I,9,0),"")</f>
        <v>0</v>
      </c>
    </row>
  </sheetData>
  <phoneticPr fontId="1" type="noConversion"/>
  <dataValidations count="1">
    <dataValidation type="custom" allowBlank="1" showInputMessage="1" showErrorMessage="1" errorTitle="無效輸入" error="此值已存在，請輸入不重複的值。" sqref="A33:A34" xr:uid="{72F78A1A-5962-4FAC-8F51-1D83DA714A85}">
      <formula1>COUNTIF(A:A,A37)=1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96744-B518-4497-A180-E2CECE07322E}">
  <sheetPr codeName="工作表7"/>
  <dimension ref="A1:B11"/>
  <sheetViews>
    <sheetView workbookViewId="0">
      <selection activeCell="B42" sqref="B42"/>
    </sheetView>
  </sheetViews>
  <sheetFormatPr defaultRowHeight="14.5" x14ac:dyDescent="0.3"/>
  <cols>
    <col min="1" max="1" width="16.796875" style="49" customWidth="1"/>
    <col min="2" max="2" width="49.69921875" style="49" bestFit="1" customWidth="1"/>
    <col min="3" max="16384" width="8.796875" style="49"/>
  </cols>
  <sheetData>
    <row r="1" spans="1:2" ht="27.5" customHeight="1" x14ac:dyDescent="0.3">
      <c r="A1" s="50" t="s">
        <v>523</v>
      </c>
      <c r="B1" s="50" t="s">
        <v>1139</v>
      </c>
    </row>
    <row r="2" spans="1:2" ht="36.5" customHeight="1" x14ac:dyDescent="0.3">
      <c r="A2" s="77" t="s">
        <v>1140</v>
      </c>
      <c r="B2" s="79" t="s">
        <v>1146</v>
      </c>
    </row>
    <row r="3" spans="1:2" ht="36.5" customHeight="1" x14ac:dyDescent="0.3">
      <c r="A3" s="81"/>
      <c r="B3" s="80"/>
    </row>
    <row r="4" spans="1:2" ht="36.5" customHeight="1" x14ac:dyDescent="0.3">
      <c r="A4" s="77" t="s">
        <v>1141</v>
      </c>
      <c r="B4" s="79" t="s">
        <v>1145</v>
      </c>
    </row>
    <row r="5" spans="1:2" ht="36.5" customHeight="1" x14ac:dyDescent="0.3">
      <c r="A5" s="78"/>
      <c r="B5" s="80"/>
    </row>
    <row r="6" spans="1:2" ht="36.5" customHeight="1" x14ac:dyDescent="0.3">
      <c r="A6" s="77" t="s">
        <v>1142</v>
      </c>
      <c r="B6" s="79" t="s">
        <v>1147</v>
      </c>
    </row>
    <row r="7" spans="1:2" ht="36.5" customHeight="1" x14ac:dyDescent="0.3">
      <c r="A7" s="78"/>
      <c r="B7" s="80"/>
    </row>
    <row r="8" spans="1:2" ht="36.5" customHeight="1" x14ac:dyDescent="0.3">
      <c r="A8" s="77" t="s">
        <v>1143</v>
      </c>
      <c r="B8" s="79" t="s">
        <v>1156</v>
      </c>
    </row>
    <row r="9" spans="1:2" ht="36.5" customHeight="1" x14ac:dyDescent="0.3">
      <c r="A9" s="78"/>
      <c r="B9" s="80"/>
    </row>
    <row r="10" spans="1:2" ht="36.5" customHeight="1" x14ac:dyDescent="0.3">
      <c r="A10" s="77" t="s">
        <v>1144</v>
      </c>
      <c r="B10" s="79" t="s">
        <v>1148</v>
      </c>
    </row>
    <row r="11" spans="1:2" ht="36.5" customHeight="1" x14ac:dyDescent="0.3">
      <c r="A11" s="78"/>
      <c r="B11" s="80"/>
    </row>
  </sheetData>
  <mergeCells count="10">
    <mergeCell ref="A8:A9"/>
    <mergeCell ref="B8:B9"/>
    <mergeCell ref="A10:A11"/>
    <mergeCell ref="B10:B11"/>
    <mergeCell ref="B2:B3"/>
    <mergeCell ref="A2:A3"/>
    <mergeCell ref="A4:A5"/>
    <mergeCell ref="B4:B5"/>
    <mergeCell ref="A6:A7"/>
    <mergeCell ref="B6:B7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2</vt:i4>
      </vt:variant>
    </vt:vector>
  </HeadingPairs>
  <TitlesOfParts>
    <vt:vector size="9" baseType="lpstr">
      <vt:lpstr>表單</vt:lpstr>
      <vt:lpstr>出入庫</vt:lpstr>
      <vt:lpstr>庫存</vt:lpstr>
      <vt:lpstr>數據庫</vt:lpstr>
      <vt:lpstr>Compare</vt:lpstr>
      <vt:lpstr>PR</vt:lpstr>
      <vt:lpstr>build log</vt:lpstr>
      <vt:lpstr>thumb</vt:lpstr>
      <vt:lpstr>庫存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謝瑞平</dc:creator>
  <cp:lastModifiedBy>Nelson Hsieh</cp:lastModifiedBy>
  <dcterms:created xsi:type="dcterms:W3CDTF">2015-06-05T18:19:34Z</dcterms:created>
  <dcterms:modified xsi:type="dcterms:W3CDTF">2025-03-21T17:32:46Z</dcterms:modified>
</cp:coreProperties>
</file>