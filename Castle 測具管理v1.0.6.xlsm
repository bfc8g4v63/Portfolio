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Nelson\Fixture management\"/>
    </mc:Choice>
  </mc:AlternateContent>
  <xr:revisionPtr revIDLastSave="0" documentId="13_ncr:1_{64016792-5B1C-4533-BB67-1B5A6B7FD1B2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首頁" sheetId="1" r:id="rId1"/>
    <sheet name="BOM分站" sheetId="22" r:id="rId2"/>
    <sheet name="出入庫" sheetId="2" r:id="rId3"/>
    <sheet name="治具庫" sheetId="3" r:id="rId4"/>
    <sheet name="線上" sheetId="20" r:id="rId5"/>
    <sheet name="睿均" sheetId="18" r:id="rId6"/>
    <sheet name="不良品" sheetId="19" r:id="rId7"/>
    <sheet name="數據庫" sheetId="4" r:id="rId8"/>
    <sheet name="BOM DB" sheetId="21" r:id="rId9"/>
    <sheet name="Log" sheetId="8" r:id="rId10"/>
  </sheets>
  <definedNames>
    <definedName name="_xlnm._FilterDatabase" localSheetId="1" hidden="1">BOM分站!$A$3:$F$3</definedName>
    <definedName name="庫存">出入庫!$A:$G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9" l="1"/>
  <c r="D7" i="18"/>
  <c r="D7" i="20"/>
  <c r="D7" i="3"/>
  <c r="A4" i="22" a="1"/>
  <c r="A4" i="22" s="1"/>
  <c r="F2" i="4" a="1"/>
  <c r="F2" i="4" s="1"/>
  <c r="G2" i="4" a="1"/>
  <c r="G2" i="4" s="1"/>
  <c r="D6" i="19"/>
  <c r="D6" i="18"/>
  <c r="D6" i="20"/>
  <c r="D6" i="3"/>
  <c r="D3" i="20"/>
  <c r="D4" i="20"/>
  <c r="D5" i="20"/>
  <c r="D2" i="20"/>
  <c r="D5" i="19"/>
  <c r="D5" i="18"/>
  <c r="D5" i="3"/>
  <c r="D2" i="19"/>
  <c r="D3" i="19"/>
  <c r="D4" i="19"/>
  <c r="D2" i="18"/>
  <c r="D3" i="18"/>
  <c r="D4" i="18"/>
  <c r="E18" i="1"/>
  <c r="D4" i="3"/>
  <c r="D3" i="3"/>
  <c r="D2" i="3"/>
  <c r="G22" i="22" l="1"/>
  <c r="G21" i="22"/>
  <c r="G20" i="22"/>
  <c r="G19" i="22"/>
  <c r="G4" i="22"/>
  <c r="G29" i="22"/>
  <c r="G28" i="22"/>
  <c r="G27" i="22"/>
  <c r="G26" i="22"/>
  <c r="G25" i="22"/>
  <c r="G24" i="22"/>
  <c r="G23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G5" i="22"/>
  <c r="E10" i="1"/>
  <c r="E8" i="1"/>
  <c r="D3" i="4" l="1"/>
  <c r="C2" i="4" l="1" a="1"/>
  <c r="C2" i="4" s="1"/>
  <c r="E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<sst xmlns="http://schemas.openxmlformats.org/spreadsheetml/2006/main" count="234" uniqueCount="91">
  <si>
    <t>日期</t>
    <phoneticPr fontId="1" type="noConversion"/>
  </si>
  <si>
    <t>料號</t>
    <phoneticPr fontId="1" type="noConversion"/>
  </si>
  <si>
    <t>品名</t>
    <phoneticPr fontId="1" type="noConversion"/>
  </si>
  <si>
    <t>規格</t>
    <phoneticPr fontId="1" type="noConversion"/>
  </si>
  <si>
    <t>出入庫</t>
    <phoneticPr fontId="1" type="noConversion"/>
  </si>
  <si>
    <t>數量</t>
    <phoneticPr fontId="1" type="noConversion"/>
  </si>
  <si>
    <t>目的</t>
    <phoneticPr fontId="1" type="noConversion"/>
  </si>
  <si>
    <t>入庫</t>
    <phoneticPr fontId="1" type="noConversion"/>
  </si>
  <si>
    <t>出庫</t>
    <phoneticPr fontId="1" type="noConversion"/>
  </si>
  <si>
    <t>新購</t>
    <phoneticPr fontId="1" type="noConversion"/>
  </si>
  <si>
    <t>入庫</t>
  </si>
  <si>
    <t>SUMIFS(加總範圍,條件範圍1,條件1,條件範圍2,條件2...)</t>
  </si>
  <si>
    <t>盤點</t>
    <phoneticPr fontId="1" type="noConversion"/>
  </si>
  <si>
    <t>來源</t>
    <phoneticPr fontId="1" type="noConversion"/>
  </si>
  <si>
    <t>出庫</t>
  </si>
  <si>
    <t>儲位</t>
    <phoneticPr fontId="1" type="noConversion"/>
  </si>
  <si>
    <r>
      <rPr>
        <sz val="16"/>
        <rFont val="新細明體"/>
        <family val="1"/>
        <charset val="136"/>
      </rPr>
      <t>料號</t>
    </r>
    <phoneticPr fontId="1" type="noConversion"/>
  </si>
  <si>
    <t>7吋</t>
    <phoneticPr fontId="1" type="noConversion"/>
  </si>
  <si>
    <t>在庫量</t>
    <phoneticPr fontId="1" type="noConversion"/>
  </si>
  <si>
    <t>安全庫存</t>
    <phoneticPr fontId="1" type="noConversion"/>
  </si>
  <si>
    <t>在庫</t>
    <phoneticPr fontId="1" type="noConversion"/>
  </si>
  <si>
    <t>睿均</t>
    <phoneticPr fontId="1" type="noConversion"/>
  </si>
  <si>
    <t>不良品</t>
    <phoneticPr fontId="1" type="noConversion"/>
  </si>
  <si>
    <t>出入</t>
    <phoneticPr fontId="1" type="noConversion"/>
  </si>
  <si>
    <t>建立表單UI、Icon、設計排版。</t>
    <phoneticPr fontId="1" type="noConversion"/>
  </si>
  <si>
    <t>USB AM to USB AF</t>
  </si>
  <si>
    <t>新購</t>
  </si>
  <si>
    <t>線上</t>
  </si>
  <si>
    <t>線上</t>
    <phoneticPr fontId="1" type="noConversion"/>
  </si>
  <si>
    <t>建立各類功能表單。</t>
    <phoneticPr fontId="1" type="noConversion"/>
  </si>
  <si>
    <t>編譯 建料功能、料號檢查、儲位檢查、欄位檢查。</t>
    <phoneticPr fontId="1" type="noConversion"/>
  </si>
  <si>
    <t>編譯 清除、Today功能。</t>
    <phoneticPr fontId="1" type="noConversion"/>
  </si>
  <si>
    <t>編譯 產生隨機料號功能、產生儲位功能。</t>
    <phoneticPr fontId="1" type="noConversion"/>
  </si>
  <si>
    <t>建立動態陣列、儲位異常除錯。</t>
    <phoneticPr fontId="1" type="noConversion"/>
  </si>
  <si>
    <t>80X86</t>
  </si>
  <si>
    <t>80X86AA</t>
  </si>
  <si>
    <t>編譯 各庫庫存、庫存檢查。</t>
    <phoneticPr fontId="1" type="noConversion"/>
  </si>
  <si>
    <t>Patch Note</t>
    <phoneticPr fontId="1" type="noConversion"/>
  </si>
  <si>
    <t>CMD</t>
    <phoneticPr fontId="1" type="noConversion"/>
  </si>
  <si>
    <t>檢查流程異常 調整流程</t>
    <phoneticPr fontId="1" type="noConversion"/>
  </si>
  <si>
    <t>庫存運算異常 編譯新原則</t>
    <phoneticPr fontId="1" type="noConversion"/>
  </si>
  <si>
    <t>儲位功能異常 修改原則</t>
    <phoneticPr fontId="1" type="noConversion"/>
  </si>
  <si>
    <r>
      <rPr>
        <sz val="12"/>
        <color theme="1"/>
        <rFont val="新細明體"/>
        <family val="2"/>
        <charset val="136"/>
      </rPr>
      <t>品號</t>
    </r>
    <phoneticPr fontId="15" type="noConversion"/>
  </si>
  <si>
    <r>
      <t xml:space="preserve">	</t>
    </r>
    <r>
      <rPr>
        <sz val="12"/>
        <color theme="1"/>
        <rFont val="新細明體"/>
        <family val="2"/>
        <charset val="136"/>
      </rPr>
      <t>品名</t>
    </r>
    <phoneticPr fontId="15" type="noConversion"/>
  </si>
  <si>
    <r>
      <t xml:space="preserve">	</t>
    </r>
    <r>
      <rPr>
        <sz val="12"/>
        <color theme="1"/>
        <rFont val="新細明體"/>
        <family val="2"/>
        <charset val="136"/>
      </rPr>
      <t>測具料號</t>
    </r>
    <phoneticPr fontId="15" type="noConversion"/>
  </si>
  <si>
    <r>
      <rPr>
        <sz val="12"/>
        <color theme="1"/>
        <rFont val="新細明體"/>
        <family val="2"/>
        <charset val="136"/>
      </rPr>
      <t>測具品名</t>
    </r>
  </si>
  <si>
    <r>
      <rPr>
        <sz val="12"/>
        <color theme="1"/>
        <rFont val="新細明體"/>
        <family val="2"/>
        <charset val="136"/>
      </rPr>
      <t>數量</t>
    </r>
  </si>
  <si>
    <r>
      <rPr>
        <sz val="12"/>
        <color theme="1"/>
        <rFont val="新細明體"/>
        <family val="2"/>
        <charset val="136"/>
      </rPr>
      <t>站別</t>
    </r>
  </si>
  <si>
    <t>101057800700</t>
    <phoneticPr fontId="15" type="noConversion"/>
  </si>
  <si>
    <t>V3CT3-C-PCI-24-WI-CLGL-PS-DC-B-0110</t>
    <phoneticPr fontId="15" type="noConversion"/>
  </si>
  <si>
    <r>
      <t>Barcode scanner (</t>
    </r>
    <r>
      <rPr>
        <sz val="12"/>
        <color theme="1"/>
        <rFont val="新細明體"/>
        <family val="1"/>
        <charset val="136"/>
      </rPr>
      <t>刷槍</t>
    </r>
    <r>
      <rPr>
        <sz val="12"/>
        <color theme="1"/>
        <rFont val="Cambria"/>
        <family val="1"/>
      </rPr>
      <t>)</t>
    </r>
  </si>
  <si>
    <t>Sensor</t>
    <phoneticPr fontId="15" type="noConversion"/>
  </si>
  <si>
    <t>315600821002</t>
    <phoneticPr fontId="15" type="noConversion"/>
  </si>
  <si>
    <t>CABLE DEVICE USB A TYPE MALE TO USB C TYPE MALE 1000MM</t>
  </si>
  <si>
    <t>315600217003</t>
    <phoneticPr fontId="15" type="noConversion"/>
  </si>
  <si>
    <r>
      <t xml:space="preserve">CABLE POWER CORD </t>
    </r>
    <r>
      <rPr>
        <sz val="12"/>
        <color theme="1"/>
        <rFont val="新細明體"/>
        <family val="1"/>
        <charset val="136"/>
      </rPr>
      <t>美規</t>
    </r>
    <r>
      <rPr>
        <sz val="12"/>
        <color theme="1"/>
        <rFont val="Cambria"/>
        <family val="1"/>
      </rPr>
      <t xml:space="preserve"> APO0050070030180</t>
    </r>
  </si>
  <si>
    <t>319100042007</t>
    <phoneticPr fontId="15" type="noConversion"/>
  </si>
  <si>
    <t>ADAPTOR 100~240V DC PLUG 1.7MM 9V/4.5A PW04-945A</t>
  </si>
  <si>
    <t>FW</t>
    <phoneticPr fontId="15" type="noConversion"/>
  </si>
  <si>
    <t>USB 16G</t>
  </si>
  <si>
    <r>
      <t>BROWAY 5Gbps USB 3.0  HUB 10</t>
    </r>
    <r>
      <rPr>
        <sz val="12"/>
        <color theme="1"/>
        <rFont val="新細明體"/>
        <family val="1"/>
        <charset val="136"/>
      </rPr>
      <t>埠集線器</t>
    </r>
  </si>
  <si>
    <t>FCT</t>
    <phoneticPr fontId="15" type="noConversion"/>
  </si>
  <si>
    <t>CABLE USB A MALE TO USB A MALE L:1000mm</t>
  </si>
  <si>
    <r>
      <t>USB 2.0 A</t>
    </r>
    <r>
      <rPr>
        <sz val="12"/>
        <color theme="1"/>
        <rFont val="新細明體"/>
        <family val="1"/>
        <charset val="136"/>
      </rPr>
      <t>公</t>
    </r>
    <r>
      <rPr>
        <sz val="12"/>
        <color theme="1"/>
        <rFont val="Cambria"/>
        <family val="1"/>
      </rPr>
      <t xml:space="preserve"> to RS-232 </t>
    </r>
    <r>
      <rPr>
        <sz val="12"/>
        <color theme="1"/>
        <rFont val="新細明體"/>
        <family val="1"/>
        <charset val="136"/>
      </rPr>
      <t>轉接盒</t>
    </r>
  </si>
  <si>
    <t>315600660000</t>
    <phoneticPr fontId="15" type="noConversion"/>
  </si>
  <si>
    <t>CABLE FOR VEGA3000 RJ9 MALE 4P4C TO DB9P FEMALE L:1500MM</t>
  </si>
  <si>
    <t>315601026000</t>
    <phoneticPr fontId="15" type="noConversion"/>
  </si>
  <si>
    <t>CABLE DB9P FEMALE TO RJ12 6P6C MALE L:1650MM</t>
    <phoneticPr fontId="15" type="noConversion"/>
  </si>
  <si>
    <t>SAM Card</t>
  </si>
  <si>
    <t>MicroSD 16GB</t>
  </si>
  <si>
    <t>ICC Card</t>
  </si>
  <si>
    <t>Printer paper</t>
  </si>
  <si>
    <t>RUN IN</t>
    <phoneticPr fontId="15" type="noConversion"/>
  </si>
  <si>
    <r>
      <t>Meter</t>
    </r>
    <r>
      <rPr>
        <sz val="12"/>
        <color theme="1"/>
        <rFont val="新細明體"/>
        <family val="1"/>
        <charset val="136"/>
      </rPr>
      <t>三用電錶</t>
    </r>
    <phoneticPr fontId="15" type="noConversion"/>
  </si>
  <si>
    <r>
      <t xml:space="preserve">TCV Meter  </t>
    </r>
    <r>
      <rPr>
        <sz val="12"/>
        <color theme="1"/>
        <rFont val="新細明體"/>
        <family val="1"/>
        <charset val="136"/>
      </rPr>
      <t>電壓流表</t>
    </r>
    <phoneticPr fontId="15" type="noConversion"/>
  </si>
  <si>
    <r>
      <t>DC 9V to 9V and USB A</t>
    </r>
    <r>
      <rPr>
        <sz val="12"/>
        <color theme="1"/>
        <rFont val="新細明體"/>
        <family val="1"/>
        <charset val="136"/>
      </rPr>
      <t>母</t>
    </r>
  </si>
  <si>
    <t xml:space="preserve">315600716001	</t>
    <phoneticPr fontId="1" type="noConversion"/>
  </si>
  <si>
    <t>CABLE DC 4.0*1.7 FEMALE TO DC 4.0*1.7 MALE AND DC 4.0*1.7 MALE L:350MM</t>
  </si>
  <si>
    <r>
      <t>(</t>
    </r>
    <r>
      <rPr>
        <sz val="12"/>
        <color theme="1"/>
        <rFont val="細明體"/>
        <family val="3"/>
        <charset val="136"/>
      </rPr>
      <t>用完為止</t>
    </r>
    <r>
      <rPr>
        <sz val="12"/>
        <color theme="1"/>
        <rFont val="Cambria"/>
        <family val="1"/>
      </rPr>
      <t>,</t>
    </r>
    <r>
      <rPr>
        <sz val="12"/>
        <color theme="1"/>
        <rFont val="細明體"/>
        <family val="3"/>
        <charset val="136"/>
      </rPr>
      <t>禁止採購</t>
    </r>
    <r>
      <rPr>
        <sz val="12"/>
        <color theme="1"/>
        <rFont val="Cambria"/>
        <family val="1"/>
      </rPr>
      <t>)ADAPTOR 100~240V DC PLUG 1.7MM 9V/4.5A PW04-945A</t>
    </r>
  </si>
  <si>
    <r>
      <t xml:space="preserve">CABLE POWER CORD </t>
    </r>
    <r>
      <rPr>
        <sz val="12"/>
        <color theme="1"/>
        <rFont val="細明體"/>
        <family val="3"/>
        <charset val="136"/>
      </rPr>
      <t>美規</t>
    </r>
  </si>
  <si>
    <r>
      <t xml:space="preserve">	</t>
    </r>
    <r>
      <rPr>
        <sz val="12"/>
        <color theme="1"/>
        <rFont val="Microsoft JhengHei"/>
        <family val="1"/>
      </rPr>
      <t>選擇</t>
    </r>
    <r>
      <rPr>
        <sz val="12"/>
        <color theme="1"/>
        <rFont val="新細明體"/>
        <family val="2"/>
        <charset val="136"/>
      </rPr>
      <t>品名↓</t>
    </r>
    <phoneticPr fontId="15" type="noConversion"/>
  </si>
  <si>
    <t>v1.0.0</t>
    <phoneticPr fontId="1" type="noConversion"/>
  </si>
  <si>
    <t>Verson</t>
    <phoneticPr fontId="1" type="noConversion"/>
  </si>
  <si>
    <t>v1.0.1</t>
  </si>
  <si>
    <t>v1.0.2</t>
  </si>
  <si>
    <t>v1.0.3</t>
  </si>
  <si>
    <t>v1.0.4</t>
  </si>
  <si>
    <t>v1.0.5</t>
  </si>
  <si>
    <t>v1.0.6</t>
  </si>
  <si>
    <t>V3CT3-C-PCI-24-WI-CLGL-PS-DC-B-0110</t>
  </si>
  <si>
    <t>線數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</si>
</sst>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\(0\)"/>
  </numFmts>
  <fonts count="23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6"/>
      <name val="新細明體"/>
      <family val="1"/>
      <charset val="136"/>
    </font>
    <font>
      <sz val="16"/>
      <name val="Calibri"/>
      <family val="2"/>
    </font>
    <font>
      <sz val="12"/>
      <name val="Calibri"/>
      <family val="2"/>
    </font>
    <font>
      <sz val="11"/>
      <color theme="1"/>
      <name val="Calibri"/>
      <family val="2"/>
    </font>
    <font>
      <sz val="16"/>
      <color theme="1"/>
      <name val="新細明體"/>
      <family val="2"/>
      <scheme val="minor"/>
    </font>
    <font>
      <sz val="16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theme="0"/>
      <name val="新細明體"/>
      <family val="2"/>
      <scheme val="minor"/>
    </font>
    <font>
      <sz val="16"/>
      <name val="Microsoft JhengHei"/>
      <family val="2"/>
      <charset val="136"/>
    </font>
    <font>
      <sz val="11"/>
      <color theme="1"/>
      <name val="Microsoft JhengHei"/>
      <family val="2"/>
      <charset val="136"/>
    </font>
    <font>
      <sz val="12"/>
      <color theme="1"/>
      <name val="Cambria"/>
      <family val="1"/>
    </font>
    <font>
      <sz val="12"/>
      <color theme="1"/>
      <name val="新細明體"/>
      <family val="2"/>
      <charset val="136"/>
    </font>
    <font>
      <sz val="9"/>
      <name val="新細明體"/>
      <family val="2"/>
      <charset val="136"/>
      <scheme val="minor"/>
    </font>
    <font>
      <sz val="12"/>
      <name val="Cambria"/>
      <family val="1"/>
    </font>
    <font>
      <sz val="12"/>
      <color theme="1"/>
      <name val="新細明體"/>
      <family val="1"/>
      <charset val="136"/>
    </font>
    <font>
      <sz val="12"/>
      <color theme="1"/>
      <name val="細明體"/>
      <family val="3"/>
      <charset val="136"/>
    </font>
    <font>
      <sz val="11"/>
      <color theme="1"/>
      <name val="Cambria"/>
      <family val="1"/>
    </font>
    <font>
      <sz val="12"/>
      <color theme="1"/>
      <name val="Cambria"/>
      <family val="2"/>
    </font>
    <font>
      <sz val="12"/>
      <color theme="1"/>
      <name val="Microsoft JhengHei"/>
      <family val="1"/>
    </font>
    <font>
      <sz val="11"/>
      <color theme="1"/>
      <name val="Microsoft JhengHei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indexed="64"/>
      </left>
      <right/>
      <top/>
      <bottom style="double">
        <color rgb="FFFF0000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4" borderId="0" xfId="0" applyFill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4" fillId="0" borderId="7" xfId="0" applyNumberFormat="1" applyFont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7" fontId="3" fillId="0" borderId="3" xfId="0" applyNumberFormat="1" applyFon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0" fillId="0" borderId="0" xfId="0" applyNumberFormat="1" applyAlignment="1">
      <alignment horizontal="center"/>
    </xf>
    <xf numFmtId="177" fontId="6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49" fontId="13" fillId="0" borderId="2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/>
    </xf>
    <xf numFmtId="177" fontId="13" fillId="0" borderId="2" xfId="0" applyNumberFormat="1" applyFont="1" applyBorder="1" applyAlignment="1">
      <alignment horizontal="center" vertical="center"/>
    </xf>
    <xf numFmtId="177" fontId="13" fillId="0" borderId="2" xfId="0" applyNumberFormat="1" applyFont="1" applyBorder="1" applyAlignment="1">
      <alignment horizontal="center" vertical="center" wrapText="1"/>
    </xf>
    <xf numFmtId="177" fontId="13" fillId="0" borderId="8" xfId="0" applyNumberFormat="1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19" fillId="0" borderId="0" xfId="0" applyFont="1"/>
    <xf numFmtId="177" fontId="19" fillId="0" borderId="0" xfId="0" applyNumberFormat="1" applyFont="1"/>
    <xf numFmtId="177" fontId="19" fillId="0" borderId="0" xfId="0" applyNumberFormat="1" applyFont="1" applyAlignment="1">
      <alignment horizontal="center"/>
    </xf>
    <xf numFmtId="177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20" fillId="0" borderId="11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77" fontId="19" fillId="0" borderId="12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177" fontId="9" fillId="5" borderId="0" xfId="0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77" fontId="8" fillId="5" borderId="0" xfId="0" applyNumberFormat="1" applyFont="1" applyFill="1" applyAlignment="1">
      <alignment horizontal="center" vertical="center"/>
    </xf>
    <xf numFmtId="177" fontId="0" fillId="5" borderId="0" xfId="0" applyNumberFormat="1" applyFill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</cellXfs>
  <cellStyles count="1">
    <cellStyle name="一般" xfId="0" builtinId="0"/>
  </cellStyles>
  <dxfs count="68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0_);\(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新細明體"/>
        <family val="1"/>
        <charset val="136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286211</xdr:colOff>
      <xdr:row>3</xdr:row>
      <xdr:rowOff>279571</xdr:rowOff>
    </xdr:from>
    <xdr:to>
      <xdr:col>2</xdr:col>
      <xdr:colOff>562624</xdr:colOff>
      <xdr:row>6</xdr:row>
      <xdr:rowOff>21836</xdr:rowOff>
    </xdr:to>
    <xdr:sp macro="[0]!清除" textlink="">
      <xdr:nvSpPr>
        <xdr:cNvPr id="2" name="矩形: 圓角 1">
          <a:extLst>
            <a:ext uri="{FF2B5EF4-FFF2-40B4-BE49-F238E27FC236}">
              <a16:creationId xmlns:a16="http://schemas.microsoft.com/office/drawing/2014/main" id="{6F3C0695-C05F-4673-B0BD-5A509252FEAA}"/>
            </a:ext>
          </a:extLst>
        </xdr:cNvPr>
        <xdr:cNvSpPr/>
      </xdr:nvSpPr>
      <xdr:spPr>
        <a:xfrm>
          <a:off x="967529" y="718842"/>
          <a:ext cx="1289424" cy="43254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清除</a:t>
          </a:r>
          <a:r>
            <a:rPr lang="en-US" altLang="zh-TW" sz="1600">
              <a:solidFill>
                <a:schemeClr val="bg1"/>
              </a:solidFill>
            </a:rPr>
            <a:t>/</a:t>
          </a:r>
          <a:r>
            <a:rPr lang="zh-TW" altLang="en-US" sz="1600">
              <a:solidFill>
                <a:schemeClr val="bg1"/>
              </a:solidFill>
            </a:rPr>
            <a:t>日期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286211</xdr:colOff>
      <xdr:row>9</xdr:row>
      <xdr:rowOff>276827</xdr:rowOff>
    </xdr:from>
    <xdr:to>
      <xdr:col>2</xdr:col>
      <xdr:colOff>562624</xdr:colOff>
      <xdr:row>12</xdr:row>
      <xdr:rowOff>14890</xdr:rowOff>
    </xdr:to>
    <xdr:sp macro="[0]!出入庫" textlink="">
      <xdr:nvSpPr>
        <xdr:cNvPr id="5" name="矩形: 圓角 4">
          <a:extLst>
            <a:ext uri="{FF2B5EF4-FFF2-40B4-BE49-F238E27FC236}">
              <a16:creationId xmlns:a16="http://schemas.microsoft.com/office/drawing/2014/main" id="{E5239B06-1D63-4422-BDCF-2DD735B74E52}"/>
            </a:ext>
          </a:extLst>
        </xdr:cNvPr>
        <xdr:cNvSpPr/>
      </xdr:nvSpPr>
      <xdr:spPr>
        <a:xfrm>
          <a:off x="967529" y="1845651"/>
          <a:ext cx="1289424" cy="42834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/>
            <a:t>出入庫</a:t>
          </a:r>
        </a:p>
      </xdr:txBody>
    </xdr:sp>
    <xdr:clientData/>
  </xdr:twoCellAnchor>
  <xdr:twoCellAnchor>
    <xdr:from>
      <xdr:col>1</xdr:col>
      <xdr:colOff>286211</xdr:colOff>
      <xdr:row>15</xdr:row>
      <xdr:rowOff>269882</xdr:rowOff>
    </xdr:from>
    <xdr:to>
      <xdr:col>2</xdr:col>
      <xdr:colOff>562624</xdr:colOff>
      <xdr:row>18</xdr:row>
      <xdr:rowOff>14336</xdr:rowOff>
    </xdr:to>
    <xdr:sp macro="[0]!查詢" textlink="">
      <xdr:nvSpPr>
        <xdr:cNvPr id="7" name="矩形: 圓角 6">
          <a:extLst>
            <a:ext uri="{FF2B5EF4-FFF2-40B4-BE49-F238E27FC236}">
              <a16:creationId xmlns:a16="http://schemas.microsoft.com/office/drawing/2014/main" id="{0EB4DE8B-1AE6-40C3-9FF1-3AE7FFB2B7A8}"/>
            </a:ext>
          </a:extLst>
        </xdr:cNvPr>
        <xdr:cNvSpPr/>
      </xdr:nvSpPr>
      <xdr:spPr>
        <a:xfrm>
          <a:off x="967529" y="2968258"/>
          <a:ext cx="1289424" cy="4347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查詢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154321</xdr:colOff>
      <xdr:row>0</xdr:row>
      <xdr:rowOff>183776</xdr:rowOff>
    </xdr:from>
    <xdr:to>
      <xdr:col>10</xdr:col>
      <xdr:colOff>510989</xdr:colOff>
      <xdr:row>3</xdr:row>
      <xdr:rowOff>212505</xdr:rowOff>
    </xdr:to>
    <xdr:sp macro="[0]!建立料號" textlink="">
      <xdr:nvSpPr>
        <xdr:cNvPr id="6" name="矩形: 圓角 5">
          <a:extLst>
            <a:ext uri="{FF2B5EF4-FFF2-40B4-BE49-F238E27FC236}">
              <a16:creationId xmlns:a16="http://schemas.microsoft.com/office/drawing/2014/main" id="{39458C7A-297B-408B-ACFE-47D9D06A0EC0}"/>
            </a:ext>
          </a:extLst>
        </xdr:cNvPr>
        <xdr:cNvSpPr/>
      </xdr:nvSpPr>
      <xdr:spPr>
        <a:xfrm>
          <a:off x="10132039" y="183776"/>
          <a:ext cx="1405538" cy="468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建立料號</a:t>
          </a:r>
        </a:p>
      </xdr:txBody>
    </xdr:sp>
    <xdr:clientData/>
  </xdr:twoCellAnchor>
  <xdr:twoCellAnchor>
    <xdr:from>
      <xdr:col>10</xdr:col>
      <xdr:colOff>628490</xdr:colOff>
      <xdr:row>0</xdr:row>
      <xdr:rowOff>183776</xdr:rowOff>
    </xdr:from>
    <xdr:to>
      <xdr:col>13</xdr:col>
      <xdr:colOff>70757</xdr:colOff>
      <xdr:row>3</xdr:row>
      <xdr:rowOff>212505</xdr:rowOff>
    </xdr:to>
    <xdr:sp macro="[0]!產生料號" textlink="">
      <xdr:nvSpPr>
        <xdr:cNvPr id="3" name="矩形: 圓角 2">
          <a:extLst>
            <a:ext uri="{FF2B5EF4-FFF2-40B4-BE49-F238E27FC236}">
              <a16:creationId xmlns:a16="http://schemas.microsoft.com/office/drawing/2014/main" id="{8281C839-9533-4C04-9323-3C2545597C03}"/>
            </a:ext>
          </a:extLst>
        </xdr:cNvPr>
        <xdr:cNvSpPr/>
      </xdr:nvSpPr>
      <xdr:spPr>
        <a:xfrm>
          <a:off x="11655078" y="183776"/>
          <a:ext cx="1405538" cy="468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產生料號</a:t>
          </a:r>
        </a:p>
      </xdr:txBody>
    </xdr:sp>
    <xdr:clientData/>
  </xdr:twoCellAnchor>
  <xdr:twoCellAnchor>
    <xdr:from>
      <xdr:col>13</xdr:col>
      <xdr:colOff>188258</xdr:colOff>
      <xdr:row>0</xdr:row>
      <xdr:rowOff>183776</xdr:rowOff>
    </xdr:from>
    <xdr:to>
      <xdr:col>15</xdr:col>
      <xdr:colOff>284949</xdr:colOff>
      <xdr:row>3</xdr:row>
      <xdr:rowOff>212505</xdr:rowOff>
    </xdr:to>
    <xdr:sp macro="[0]!產生儲位" textlink="">
      <xdr:nvSpPr>
        <xdr:cNvPr id="4" name="矩形: 圓角 3">
          <a:extLst>
            <a:ext uri="{FF2B5EF4-FFF2-40B4-BE49-F238E27FC236}">
              <a16:creationId xmlns:a16="http://schemas.microsoft.com/office/drawing/2014/main" id="{06A2CBC1-F5EE-46FD-90F4-597CE1BD06CB}"/>
            </a:ext>
          </a:extLst>
        </xdr:cNvPr>
        <xdr:cNvSpPr/>
      </xdr:nvSpPr>
      <xdr:spPr>
        <a:xfrm>
          <a:off x="13178117" y="183776"/>
          <a:ext cx="1405538" cy="468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產生儲位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29D80-EBD7-4AF2-A07D-8DE5AA208994}" name="表格1" displayName="表格1" ref="A1:H5" totalsRowShown="0" headerRowDxfId="63" dataDxfId="62">
  <autoFilter ref="A1:H5" xr:uid="{A5529D80-EBD7-4AF2-A07D-8DE5AA208994}"/>
  <tableColumns count="8">
    <tableColumn id="1" xr3:uid="{7753F171-13BA-4757-9F84-F68DDAE0C859}" name="日期" dataDxfId="61"/>
    <tableColumn id="2" xr3:uid="{6F7173EF-9661-430F-9EB2-D10DA6EF0085}" name="料號" dataDxfId="60"/>
    <tableColumn id="3" xr3:uid="{D9351DF6-60C9-45F7-A50D-6701D27A5AC5}" name="品名" dataDxfId="59"/>
    <tableColumn id="4" xr3:uid="{3D395405-979C-4D38-BB0D-08AA64957CF4}" name="規格" dataDxfId="58"/>
    <tableColumn id="5" xr3:uid="{A67EC262-ED86-4724-B6CD-298D95D4F745}" name="出入庫" dataDxfId="57"/>
    <tableColumn id="6" xr3:uid="{CB13AC18-B30E-4E8F-BA82-C8F73EE38399}" name="數量" dataDxfId="56"/>
    <tableColumn id="7" xr3:uid="{C22658E4-4866-4C25-960F-00D537C614EC}" name="來源" dataDxfId="55"/>
    <tableColumn id="8" xr3:uid="{C2677849-2041-4D15-9793-C03E9191250A}" name="儲位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BC5AA8-D06F-4655-8012-93A5DEEAD60C}" name="表格2" displayName="表格2" ref="A1:F7" totalsRowShown="0" headerRowDxfId="52" dataDxfId="50" headerRowBorderDxfId="51" tableBorderDxfId="49" totalsRowBorderDxfId="48">
  <autoFilter ref="A1:F7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67DEBD0-2B8A-4B5E-B03F-EA03764B77B1}" name="料號" dataDxfId="47"/>
    <tableColumn id="2" xr3:uid="{37E9C36B-E5AC-4E96-BBC9-DDF2776CEA58}" name="品名" dataDxfId="46"/>
    <tableColumn id="3" xr3:uid="{C57D5199-F36D-4C4A-AE60-33C54FBC8451}" name="規格" dataDxfId="45"/>
    <tableColumn id="4" xr3:uid="{D16BABFE-3BB2-4A4D-91C8-40C74E09C6E9}" name="在庫量" dataDxfId="44">
      <calculatedColumnFormula>SUMIFS(出入庫!F:F,出入庫!E:E,"入庫",出入庫!B:B,表格2[[#This Row],[料號]])-SUMIFS(出入庫!F:F,出入庫!E:E,"出庫",出入庫!B:B,表格2[[#This Row],[料號]])</calculatedColumnFormula>
    </tableColumn>
    <tableColumn id="5" xr3:uid="{5EC6700B-96B1-4A49-9325-48C002EA0E60}" name="儲位" dataDxfId="43"/>
    <tableColumn id="7" xr3:uid="{3E7D2E8B-5A14-460F-BBD9-8BD5375DB449}" name="安全庫存" dataDxfId="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E8885-5DA2-4612-97DD-DF4771AD093C}" name="表格2_7" displayName="表格2_7" ref="A1:F7" totalsRowShown="0" headerRowDxfId="40" dataDxfId="38" headerRowBorderDxfId="39" tableBorderDxfId="37" totalsRowBorderDxfId="36">
  <autoFilter ref="A1:F7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CAE41F4-98DB-4EFC-A706-9B8AADCCF7DB}" name="料號" dataDxfId="35"/>
    <tableColumn id="2" xr3:uid="{DA69853E-FC8B-4BC2-906B-6152BCE8D42B}" name="品名" dataDxfId="34"/>
    <tableColumn id="3" xr3:uid="{4C064FC0-F4FB-40A6-AA0F-06845C545CCE}" name="規格" dataDxfId="33"/>
    <tableColumn id="4" xr3:uid="{EB218270-E601-4EDA-B152-19A23BB363C7}" name="在庫量" dataDxfId="32">
      <calculatedColumnFormula>SUMIFS(出入庫!F:F, 出入庫!E:E, "出庫", 出入庫!B:B, 表格2_7[[#This Row],[料號]], 出入庫!G:G, "線上") - SUMIFS(出入庫!F:F, 出入庫!E:E, "入庫", 出入庫!B:B, 表格2_7[[#This Row],[料號]], 出入庫!G:G, "線上")</calculatedColumnFormula>
    </tableColumn>
    <tableColumn id="5" xr3:uid="{B989B4E2-9C16-454D-AE74-A3DF6C5F572A}" name="儲位" dataDxfId="31"/>
    <tableColumn id="7" xr3:uid="{540AE217-9C2B-4356-8AF7-A7825A5DC337}" name="安全庫存" dataDxfId="3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B9CD485-D9D6-413D-A35D-5EA2770B8253}" name="表格2_45" displayName="表格2_45" ref="A1:F7" totalsRowShown="0" headerRowDxfId="28" dataDxfId="26" headerRowBorderDxfId="27" tableBorderDxfId="25" totalsRowBorderDxfId="24">
  <autoFilter ref="A1:F7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1011E18-E108-4D4A-9899-9BEB45AA821E}" name="料號" dataDxfId="23"/>
    <tableColumn id="2" xr3:uid="{5A225E83-6107-4518-8D8E-F0B5D86E022C}" name="品名" dataDxfId="22"/>
    <tableColumn id="3" xr3:uid="{39A7CAB5-9F6F-4B27-97AF-05DB36204733}" name="規格" dataDxfId="21"/>
    <tableColumn id="4" xr3:uid="{2E4F33CB-FC9C-4A4C-8EE6-0FE2CB7FA1A1}" name="在庫量" dataDxfId="20">
      <calculatedColumnFormula>SUMIFS(出入庫!F:F, 出入庫!E:E, "出庫", 出入庫!B:B, 表格2_45[[#This Row],[料號]], 出入庫!G:G, "睿均") - SUMIFS(出入庫!F:F, 出入庫!E:E, "入庫", 出入庫!B:B, 表格2_45[[#This Row],[料號]], 出入庫!G:G, "睿均")</calculatedColumnFormula>
    </tableColumn>
    <tableColumn id="5" xr3:uid="{75B4693E-9EE8-4077-A551-EA24FCCA8A40}" name="儲位" dataDxfId="19"/>
    <tableColumn id="7" xr3:uid="{14E2C39F-E028-4FE2-9B45-26687A01A3D2}" name="安全庫存" dataDxfId="18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359104-1AA4-4D2B-B7B7-AF33436C39EC}" name="表格2_456" displayName="表格2_456" ref="A1:F7" totalsRowShown="0" headerRowDxfId="16" dataDxfId="14" headerRowBorderDxfId="15" tableBorderDxfId="13" totalsRowBorderDxfId="12">
  <autoFilter ref="A1:F7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E37C56E-14D5-4AA3-97FB-4B35F5B71182}" name="料號" dataDxfId="11"/>
    <tableColumn id="2" xr3:uid="{C3B56BFF-37CB-4CD3-BDA9-985C02C98821}" name="品名" dataDxfId="10"/>
    <tableColumn id="3" xr3:uid="{AF571EE7-BFDF-40F1-A739-91CDE87A9B3B}" name="規格" dataDxfId="9"/>
    <tableColumn id="4" xr3:uid="{7D2F92A9-19B7-4F05-8041-EABFABE752D6}" name="在庫量" dataDxfId="8">
      <calculatedColumnFormula>SUMIFS(出入庫!F:F, 出入庫!E:E, "出庫", 出入庫!B:B, 表格2_456[[#This Row],[料號]], 出入庫!G:G, "不良品")</calculatedColumnFormula>
    </tableColumn>
    <tableColumn id="5" xr3:uid="{0A3B0EDA-DB07-472E-BB92-3A3F464C5312}" name="儲位" dataDxfId="7"/>
    <tableColumn id="7" xr3:uid="{4E0592F5-96B2-46CC-B8BB-80182400FFAB}" name="安全庫存" dataDxfId="6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9CD500-A814-4190-843B-4DBAAE122118}" name="表格7" displayName="表格7" ref="A2:B7" headerRowCount="0" totalsRowShown="0" headerRowDxfId="5" dataDxfId="4">
  <tableColumns count="2">
    <tableColumn id="1" xr3:uid="{73196D9B-7A86-42AA-90EB-CFB018ED30C3}" name="欄1" headerRowDxfId="3" dataDxfId="2"/>
    <tableColumn id="2" xr3:uid="{8F3C46B3-6D55-44EB-9C07-915BC0A856EC}" name="欄2" headerRowDxfId="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46"/>
  <sheetViews>
    <sheetView tabSelected="1" zoomScale="85" zoomScaleNormal="85" workbookViewId="0">
      <selection activeCell="K22" sqref="K22"/>
    </sheetView>
  </sheetViews>
  <sheetFormatPr defaultColWidth="8.875" defaultRowHeight="15"/>
  <cols>
    <col min="1" max="1" width="11.125" style="9" bestFit="1" customWidth="1"/>
    <col min="2" max="2" width="16.625" style="29" customWidth="1"/>
    <col min="3" max="3" width="16.625" style="5" customWidth="1"/>
    <col min="4" max="4" width="25.375" style="5" customWidth="1"/>
    <col min="5" max="6" width="37.125" style="5" customWidth="1"/>
    <col min="7" max="7" width="8.75" style="5" bestFit="1" customWidth="1"/>
    <col min="8" max="9" width="6.5" style="5" bestFit="1" customWidth="1"/>
    <col min="10" max="16" width="10.75" style="5" customWidth="1"/>
    <col min="17" max="16384" width="8.875" style="5"/>
  </cols>
  <sheetData>
    <row r="1" spans="1:16">
      <c r="A1" s="23"/>
      <c r="B1" s="30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>
      <c r="A2" s="23"/>
      <c r="B2" s="30"/>
      <c r="C2" s="1"/>
      <c r="D2" s="1"/>
      <c r="E2" s="1"/>
      <c r="F2" s="1"/>
      <c r="G2" s="1"/>
      <c r="H2" s="13"/>
      <c r="I2" s="4"/>
      <c r="J2" s="4"/>
      <c r="K2" s="4"/>
      <c r="L2" s="4"/>
      <c r="M2" s="4"/>
      <c r="N2" s="4"/>
      <c r="O2" s="4"/>
      <c r="P2" s="4"/>
    </row>
    <row r="3" spans="1:16" ht="5.0999999999999996" customHeight="1">
      <c r="A3" s="23"/>
      <c r="B3" s="31"/>
      <c r="C3" s="6"/>
      <c r="D3" s="1"/>
      <c r="E3" s="1"/>
      <c r="F3" s="1"/>
      <c r="G3" s="1"/>
      <c r="H3" s="13"/>
      <c r="I3" s="4"/>
      <c r="J3" s="4"/>
      <c r="K3" s="4"/>
      <c r="L3" s="4"/>
      <c r="M3" s="4"/>
      <c r="N3" s="4"/>
      <c r="O3" s="4"/>
      <c r="P3" s="4"/>
    </row>
    <row r="4" spans="1:16" ht="24.9" customHeight="1">
      <c r="A4" s="23"/>
      <c r="B4" s="31"/>
      <c r="C4" s="6"/>
      <c r="D4" s="1" t="s">
        <v>0</v>
      </c>
      <c r="E4" s="58">
        <v>45679</v>
      </c>
      <c r="F4" s="58"/>
      <c r="G4" s="1"/>
      <c r="H4" s="13"/>
      <c r="I4" s="4"/>
      <c r="J4" s="4"/>
      <c r="K4" s="4"/>
      <c r="L4" s="4"/>
      <c r="M4" s="4"/>
      <c r="N4" s="4"/>
      <c r="O4" s="4"/>
      <c r="P4" s="4"/>
    </row>
    <row r="5" spans="1:16" ht="5.0999999999999996" customHeight="1">
      <c r="A5" s="23"/>
      <c r="B5" s="31"/>
      <c r="C5" s="6"/>
      <c r="D5" s="1"/>
      <c r="E5" s="1"/>
      <c r="F5" s="1"/>
      <c r="G5" s="1"/>
      <c r="H5" s="13"/>
      <c r="I5" s="4"/>
      <c r="J5" s="1"/>
      <c r="K5" s="1"/>
      <c r="L5" s="1"/>
      <c r="M5" s="62"/>
      <c r="N5" s="62"/>
      <c r="O5" s="62"/>
      <c r="P5" s="4"/>
    </row>
    <row r="6" spans="1:16" ht="24.9" customHeight="1">
      <c r="A6" s="23"/>
      <c r="B6" s="31"/>
      <c r="C6" s="6"/>
      <c r="D6" s="1" t="s">
        <v>1</v>
      </c>
      <c r="E6" s="59"/>
      <c r="F6" s="59"/>
      <c r="G6" s="1"/>
      <c r="H6" s="13"/>
      <c r="I6" s="4"/>
      <c r="J6" s="1" t="s">
        <v>1</v>
      </c>
      <c r="K6" s="63"/>
      <c r="L6" s="63"/>
      <c r="M6" s="63"/>
      <c r="N6" s="63"/>
      <c r="O6" s="1"/>
      <c r="P6" s="4"/>
    </row>
    <row r="7" spans="1:16" ht="5.0999999999999996" customHeight="1">
      <c r="A7" s="23"/>
      <c r="B7" s="31"/>
      <c r="C7" s="6"/>
      <c r="D7" s="1"/>
      <c r="E7" s="1"/>
      <c r="F7" s="1"/>
      <c r="G7" s="1"/>
      <c r="H7" s="13"/>
      <c r="I7" s="4"/>
      <c r="J7" s="1"/>
      <c r="K7" s="1"/>
      <c r="L7" s="1"/>
      <c r="M7" s="1"/>
      <c r="N7" s="1"/>
      <c r="O7" s="1"/>
      <c r="P7" s="4"/>
    </row>
    <row r="8" spans="1:16" ht="24.9" customHeight="1">
      <c r="A8" s="23"/>
      <c r="B8" s="31"/>
      <c r="C8" s="6"/>
      <c r="D8" s="1" t="s">
        <v>2</v>
      </c>
      <c r="E8" s="60" t="str">
        <f>IFERROR(INDEX(治具庫!B:B, MATCH(E6, 治具庫!A:A, 0)), "")</f>
        <v/>
      </c>
      <c r="F8" s="60"/>
      <c r="G8" s="1"/>
      <c r="H8" s="13"/>
      <c r="I8" s="4"/>
      <c r="J8" s="1" t="s">
        <v>2</v>
      </c>
      <c r="K8" s="60"/>
      <c r="L8" s="64"/>
      <c r="M8" s="64"/>
      <c r="N8" s="64"/>
      <c r="O8" s="1"/>
      <c r="P8" s="4"/>
    </row>
    <row r="9" spans="1:16" ht="5.0999999999999996" customHeight="1">
      <c r="A9" s="23"/>
      <c r="B9" s="31"/>
      <c r="C9" s="6"/>
      <c r="D9" s="1"/>
      <c r="E9" s="1"/>
      <c r="F9" s="1"/>
      <c r="G9" s="1"/>
      <c r="H9" s="13"/>
      <c r="I9" s="4"/>
      <c r="J9" s="1"/>
      <c r="K9" s="1"/>
      <c r="L9" s="1"/>
      <c r="M9" s="1"/>
      <c r="N9" s="1"/>
      <c r="O9" s="1"/>
      <c r="P9" s="4"/>
    </row>
    <row r="10" spans="1:16" ht="24.9" customHeight="1">
      <c r="A10" s="23"/>
      <c r="B10" s="31"/>
      <c r="C10" s="6"/>
      <c r="D10" s="1" t="s">
        <v>3</v>
      </c>
      <c r="E10" s="60" t="str">
        <f>IFERROR(INDEX(治具庫!C:C, MATCH(E6, 治具庫!A:A, 0)), "")</f>
        <v/>
      </c>
      <c r="F10" s="60"/>
      <c r="G10" s="1"/>
      <c r="H10" s="13"/>
      <c r="I10" s="4"/>
      <c r="J10" s="1" t="s">
        <v>3</v>
      </c>
      <c r="K10" s="60"/>
      <c r="L10" s="64"/>
      <c r="M10" s="64"/>
      <c r="N10" s="64"/>
      <c r="O10" s="1"/>
      <c r="P10" s="4"/>
    </row>
    <row r="11" spans="1:16" ht="5.0999999999999996" customHeight="1">
      <c r="A11" s="23"/>
      <c r="B11" s="31"/>
      <c r="C11" s="6"/>
      <c r="D11" s="1"/>
      <c r="E11" s="1"/>
      <c r="F11" s="1"/>
      <c r="G11" s="1"/>
      <c r="H11" s="13"/>
      <c r="I11" s="4"/>
      <c r="J11" s="1"/>
      <c r="K11" s="1"/>
      <c r="L11" s="1"/>
      <c r="M11" s="1"/>
      <c r="N11" s="1"/>
      <c r="O11" s="1"/>
      <c r="P11" s="4"/>
    </row>
    <row r="12" spans="1:16" ht="24.9" customHeight="1">
      <c r="A12" s="23"/>
      <c r="B12" s="31"/>
      <c r="C12" s="6"/>
      <c r="D12" s="1" t="s">
        <v>23</v>
      </c>
      <c r="E12" s="7" t="s">
        <v>7</v>
      </c>
      <c r="F12" s="7" t="s">
        <v>8</v>
      </c>
      <c r="G12" s="20" t="s">
        <v>8</v>
      </c>
      <c r="H12" s="13"/>
      <c r="I12" s="4"/>
      <c r="J12" s="1" t="s">
        <v>15</v>
      </c>
      <c r="K12" s="60"/>
      <c r="L12" s="64"/>
      <c r="M12" s="64"/>
      <c r="N12" s="64"/>
      <c r="O12" s="1"/>
      <c r="P12" s="4"/>
    </row>
    <row r="13" spans="1:16" ht="5.0999999999999996" customHeight="1">
      <c r="A13" s="23"/>
      <c r="B13" s="31"/>
      <c r="C13" s="6"/>
      <c r="D13" s="1"/>
      <c r="E13" s="1"/>
      <c r="F13" s="1"/>
      <c r="G13" s="1"/>
      <c r="H13" s="13"/>
      <c r="I13" s="4"/>
      <c r="J13" s="1"/>
      <c r="K13" s="1"/>
      <c r="L13" s="1"/>
      <c r="M13" s="1"/>
      <c r="N13" s="1"/>
      <c r="O13" s="1"/>
      <c r="P13" s="4"/>
    </row>
    <row r="14" spans="1:16" ht="24.9" customHeight="1">
      <c r="A14" s="23"/>
      <c r="B14" s="31"/>
      <c r="C14" s="6"/>
      <c r="D14" s="1" t="s">
        <v>5</v>
      </c>
      <c r="E14" s="61"/>
      <c r="F14" s="61"/>
      <c r="G14" s="1"/>
      <c r="H14" s="13"/>
      <c r="I14" s="4"/>
      <c r="J14" s="1"/>
      <c r="K14" s="1"/>
      <c r="L14" s="1"/>
      <c r="M14" s="1"/>
      <c r="N14" s="1"/>
      <c r="O14" s="1"/>
      <c r="P14" s="4"/>
    </row>
    <row r="15" spans="1:16" ht="5.0999999999999996" customHeight="1">
      <c r="A15" s="23"/>
      <c r="B15" s="31"/>
      <c r="C15" s="6"/>
      <c r="D15" s="1"/>
      <c r="E15" s="1"/>
      <c r="F15" s="1"/>
      <c r="G15" s="1"/>
      <c r="H15" s="13"/>
      <c r="I15" s="4"/>
      <c r="J15" s="1"/>
      <c r="K15" s="1"/>
      <c r="L15" s="1"/>
      <c r="M15" s="1"/>
      <c r="N15" s="1"/>
      <c r="O15" s="1"/>
      <c r="P15" s="4"/>
    </row>
    <row r="16" spans="1:16" ht="24.9" customHeight="1">
      <c r="A16" s="23"/>
      <c r="B16" s="31"/>
      <c r="C16" s="6"/>
      <c r="D16" s="1" t="s">
        <v>13</v>
      </c>
      <c r="E16" s="60" t="s">
        <v>27</v>
      </c>
      <c r="F16" s="60"/>
      <c r="G16" s="1"/>
      <c r="H16" s="13"/>
      <c r="I16" s="4"/>
      <c r="J16" s="1"/>
      <c r="K16" s="1"/>
      <c r="L16" s="1"/>
      <c r="M16" s="1"/>
      <c r="N16" s="1"/>
      <c r="O16" s="1"/>
      <c r="P16" s="4"/>
    </row>
    <row r="17" spans="1:16" ht="5.0999999999999996" customHeight="1">
      <c r="A17" s="23"/>
      <c r="B17" s="31"/>
      <c r="C17" s="6"/>
      <c r="D17" s="1"/>
      <c r="E17" s="1"/>
      <c r="F17" s="1"/>
      <c r="G17" s="1"/>
      <c r="H17" s="13"/>
      <c r="I17" s="4"/>
      <c r="J17" s="1"/>
      <c r="K17" s="1"/>
      <c r="L17" s="1"/>
      <c r="M17" s="1"/>
      <c r="N17" s="1"/>
      <c r="O17" s="1"/>
      <c r="P17" s="4"/>
    </row>
    <row r="18" spans="1:16" ht="24.9" customHeight="1">
      <c r="A18" s="23"/>
      <c r="B18" s="31"/>
      <c r="C18" s="6"/>
      <c r="D18" s="1" t="s">
        <v>15</v>
      </c>
      <c r="E18" s="61" t="str">
        <f>IFERROR(INDEX(治具庫!E:E, MATCH(E6, 治具庫!A:A, 0)), "")</f>
        <v/>
      </c>
      <c r="F18" s="61"/>
      <c r="G18" s="1"/>
      <c r="H18" s="13"/>
      <c r="I18" s="4"/>
      <c r="J18" s="1"/>
      <c r="K18" s="1"/>
      <c r="L18" s="1"/>
      <c r="M18" s="1"/>
      <c r="N18" s="1"/>
      <c r="O18" s="1"/>
      <c r="P18" s="4"/>
    </row>
    <row r="19" spans="1:16" ht="5.0999999999999996" customHeight="1">
      <c r="A19" s="23"/>
      <c r="B19" s="31"/>
      <c r="C19" s="6"/>
      <c r="D19" s="1"/>
      <c r="E19" s="1"/>
      <c r="F19" s="1"/>
      <c r="G19" s="1"/>
      <c r="H19" s="13"/>
      <c r="I19" s="4"/>
      <c r="J19" s="1"/>
      <c r="K19" s="1"/>
      <c r="L19" s="1"/>
      <c r="M19" s="1"/>
      <c r="N19" s="1"/>
      <c r="O19" s="1"/>
      <c r="P19" s="4"/>
    </row>
    <row r="20" spans="1:16" ht="24.9" customHeight="1">
      <c r="A20" s="23"/>
      <c r="B20" s="31"/>
      <c r="C20" s="6"/>
      <c r="D20" s="1" t="s">
        <v>20</v>
      </c>
      <c r="E20" s="61" t="str">
        <f>IFERROR(INDEX(治具庫!D:D, MATCH(E6, 治具庫!A:A, 0)), "")</f>
        <v/>
      </c>
      <c r="F20" s="61"/>
      <c r="G20" s="1"/>
      <c r="H20" s="13"/>
      <c r="I20" s="4"/>
      <c r="J20" s="1"/>
      <c r="K20" s="1"/>
      <c r="L20" s="1"/>
      <c r="M20" s="1"/>
      <c r="N20" s="1"/>
      <c r="O20" s="1"/>
      <c r="P20" s="4"/>
    </row>
    <row r="21" spans="1:16" ht="5.0999999999999996" customHeight="1">
      <c r="A21" s="23"/>
      <c r="B21" s="30"/>
      <c r="C21" s="1"/>
      <c r="D21" s="1"/>
      <c r="E21" s="1"/>
      <c r="F21" s="1"/>
      <c r="G21" s="1"/>
      <c r="H21" s="13"/>
      <c r="I21" s="4"/>
      <c r="J21" s="1"/>
      <c r="K21" s="1"/>
      <c r="L21" s="1"/>
      <c r="M21" s="1"/>
      <c r="N21" s="1"/>
      <c r="O21" s="1"/>
      <c r="P21" s="4"/>
    </row>
    <row r="22" spans="1:16" ht="24.9" customHeight="1">
      <c r="A22" s="23"/>
      <c r="B22" s="30"/>
      <c r="C22" s="1"/>
      <c r="D22" s="1"/>
      <c r="E22" s="1"/>
      <c r="F22" s="1"/>
      <c r="G22" s="1"/>
      <c r="H22" s="4"/>
      <c r="I22" s="45"/>
      <c r="J22" s="4"/>
      <c r="K22" s="4"/>
      <c r="L22" s="4"/>
      <c r="M22" s="4"/>
      <c r="N22" s="4"/>
      <c r="O22" s="4"/>
      <c r="P22" s="4"/>
    </row>
    <row r="23" spans="1:16" ht="5.0999999999999996" customHeight="1">
      <c r="A23" s="23"/>
      <c r="B23" s="30"/>
      <c r="C23" s="1"/>
      <c r="D23" s="1"/>
      <c r="E23" s="1"/>
      <c r="F23" s="1"/>
      <c r="G23" s="1"/>
      <c r="H23" s="4"/>
      <c r="I23" s="45"/>
      <c r="J23" s="4"/>
      <c r="K23" s="4"/>
      <c r="L23" s="4"/>
      <c r="M23" s="4"/>
      <c r="N23" s="4"/>
      <c r="O23" s="4"/>
      <c r="P23" s="4"/>
    </row>
    <row r="24" spans="1:16">
      <c r="A24" s="23"/>
      <c r="B24" s="30"/>
      <c r="C24" s="4"/>
      <c r="D24" s="4"/>
      <c r="E24" s="4"/>
      <c r="F24" s="4"/>
      <c r="G24" s="4"/>
      <c r="H24" s="4"/>
      <c r="I24" s="45"/>
      <c r="J24" s="4"/>
      <c r="K24" s="4"/>
      <c r="L24" s="4"/>
      <c r="M24" s="4"/>
      <c r="N24" s="4"/>
      <c r="O24" s="4"/>
      <c r="P24" s="4"/>
    </row>
    <row r="25" spans="1:16">
      <c r="A25" s="9" t="s">
        <v>0</v>
      </c>
      <c r="B25" s="29" t="s">
        <v>1</v>
      </c>
      <c r="C25" s="5" t="s">
        <v>2</v>
      </c>
      <c r="D25" s="5" t="s">
        <v>3</v>
      </c>
      <c r="E25" s="5" t="s">
        <v>4</v>
      </c>
      <c r="F25" s="5" t="s">
        <v>5</v>
      </c>
      <c r="G25" s="5" t="s">
        <v>13</v>
      </c>
      <c r="H25" s="5" t="s">
        <v>15</v>
      </c>
      <c r="I25"/>
    </row>
    <row r="26" spans="1:16" customFormat="1">
      <c r="A26" s="9"/>
      <c r="B26" s="29"/>
      <c r="C26" s="5"/>
      <c r="D26" s="5"/>
      <c r="E26" s="5"/>
      <c r="F26" s="5"/>
      <c r="G26" s="5"/>
      <c r="H26" s="5"/>
      <c r="I26" s="44"/>
      <c r="J26" s="5"/>
    </row>
    <row r="27" spans="1:16" customFormat="1">
      <c r="A27" s="9"/>
      <c r="B27" s="29"/>
      <c r="C27" s="5"/>
      <c r="D27" s="5"/>
      <c r="E27" s="5"/>
      <c r="F27" s="5"/>
      <c r="G27" s="5"/>
      <c r="H27" s="5"/>
      <c r="I27" s="44"/>
      <c r="J27" s="5"/>
    </row>
    <row r="28" spans="1:16" customFormat="1">
      <c r="A28" s="9"/>
      <c r="B28" s="29"/>
      <c r="C28" s="5"/>
      <c r="D28" s="5"/>
      <c r="E28" s="5"/>
      <c r="F28" s="5"/>
      <c r="G28" s="5"/>
      <c r="H28" s="5"/>
      <c r="I28" s="44"/>
    </row>
    <row r="29" spans="1:16" customFormat="1">
      <c r="A29" s="9"/>
      <c r="B29" s="29"/>
      <c r="C29" s="5"/>
      <c r="D29" s="5"/>
      <c r="E29" s="5"/>
      <c r="F29" s="5"/>
      <c r="G29" s="5"/>
      <c r="H29" s="5"/>
      <c r="I29" s="44"/>
      <c r="J29" s="5"/>
    </row>
    <row r="30" spans="1:16" customFormat="1">
      <c r="A30" s="9"/>
      <c r="B30" s="29"/>
      <c r="C30" s="5"/>
      <c r="D30" s="5"/>
      <c r="E30" s="5"/>
      <c r="F30" s="5"/>
      <c r="G30" s="5"/>
      <c r="H30" s="5"/>
      <c r="I30" s="44"/>
      <c r="J30" s="5"/>
    </row>
    <row r="31" spans="1:16">
      <c r="I31" s="44"/>
    </row>
    <row r="32" spans="1:16">
      <c r="I32" s="44"/>
    </row>
    <row r="33" spans="9:9">
      <c r="I33" s="44"/>
    </row>
    <row r="34" spans="9:9">
      <c r="I34" s="44"/>
    </row>
    <row r="35" spans="9:9">
      <c r="I35" s="44"/>
    </row>
    <row r="36" spans="9:9">
      <c r="I36" s="44"/>
    </row>
    <row r="37" spans="9:9">
      <c r="I37" s="44"/>
    </row>
    <row r="38" spans="9:9">
      <c r="I38" s="44"/>
    </row>
    <row r="39" spans="9:9">
      <c r="I39" s="44"/>
    </row>
    <row r="40" spans="9:9">
      <c r="I40" s="44"/>
    </row>
    <row r="41" spans="9:9">
      <c r="I41" s="44"/>
    </row>
    <row r="42" spans="9:9">
      <c r="I42" s="44"/>
    </row>
    <row r="43" spans="9:9">
      <c r="I43" s="44"/>
    </row>
    <row r="44" spans="9:9">
      <c r="I44" s="44"/>
    </row>
    <row r="45" spans="9:9">
      <c r="I45" s="44"/>
    </row>
    <row r="46" spans="9:9">
      <c r="I46" s="44"/>
    </row>
  </sheetData>
  <protectedRanges>
    <protectedRange sqref="E6 E14 E16 M12 K12" name="範圍1"/>
  </protectedRanges>
  <mergeCells count="13">
    <mergeCell ref="E20:F20"/>
    <mergeCell ref="M5:O5"/>
    <mergeCell ref="K6:N6"/>
    <mergeCell ref="E18:F18"/>
    <mergeCell ref="E16:F16"/>
    <mergeCell ref="K8:N8"/>
    <mergeCell ref="K10:N10"/>
    <mergeCell ref="K12:N12"/>
    <mergeCell ref="E4:F4"/>
    <mergeCell ref="E6:F6"/>
    <mergeCell ref="E8:F8"/>
    <mergeCell ref="E10:F10"/>
    <mergeCell ref="E14:F14"/>
  </mergeCells>
  <phoneticPr fontId="1" type="noConversion"/>
  <conditionalFormatting sqref="E12">
    <cfRule type="expression" dxfId="67" priority="3">
      <formula>$G$12="入庫"</formula>
    </cfRule>
    <cfRule type="expression" dxfId="66" priority="4">
      <formula>$G$12&lt;&gt;"入庫"</formula>
    </cfRule>
  </conditionalFormatting>
  <conditionalFormatting sqref="F12">
    <cfRule type="expression" dxfId="65" priority="1">
      <formula>$G$12="出庫"</formula>
    </cfRule>
    <cfRule type="expression" dxfId="64" priority="2">
      <formula>$G$12&lt;&gt;"出庫"</formula>
    </cfRule>
  </conditionalFormatting>
  <dataValidations count="2">
    <dataValidation type="whole" allowBlank="1" showInputMessage="1" showErrorMessage="1" sqref="K12" xr:uid="{43F8865B-6DE9-4786-8EE0-F56FAE748106}">
      <formula1>1</formula1>
      <formula2>5000</formula2>
    </dataValidation>
    <dataValidation type="custom" allowBlank="1" showInputMessage="1" showErrorMessage="1" sqref="K13:N13" xr:uid="{6853213B-D8E4-4ED0-A45B-041CFF546707}">
      <formula1>AND(LEN(E13) = 9, EXACT(LEFT(E13, 1), "B"), EXACT(MID(E13, 6, 1), "A"), MID(E13, 2, 1) = "1", MID(E13, 3, 1) = "5")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A217C55A-09AC-40C5-A3E5-1715D0D0CD25}">
          <x14:formula1>
            <xm:f>_xlfn.ANCHORARRAY(數據庫!$C$2)</xm:f>
          </x14:formula1>
          <xm:sqref>E16:F16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1C4E-CA19-44C3-A265-18A7DF7AC0EC}">
  <sheetPr codeName="工作表12"/>
  <dimension ref="A1:G29"/>
  <sheetViews>
    <sheetView zoomScale="85" zoomScaleNormal="85" workbookViewId="0">
      <pane ySplit="3" topLeftCell="A4" activePane="bottomLeft" state="frozen"/>
      <selection pane="bottomLeft" activeCell="G4" sqref="G4:G29"/>
    </sheetView>
  </sheetViews>
  <sheetFormatPr defaultRowHeight="16.2" customHeight="1"/>
  <cols>
    <col min="1" max="1" width="19.125" style="47" bestFit="1" customWidth="1"/>
    <col min="2" max="2" width="49.5" style="46" bestFit="1" customWidth="1"/>
    <col min="3" max="3" width="19.125" style="46" bestFit="1" customWidth="1"/>
    <col min="4" max="4" width="95.375" style="46" bestFit="1" customWidth="1"/>
    <col min="5" max="6" width="12.625" style="46" customWidth="1"/>
    <col min="7" max="7" width="9" style="54"/>
    <col min="8" max="16384" width="9" style="46"/>
  </cols>
  <sheetData>
    <row r="1" spans="1:7" ht="16.2" customHeight="1" thickBot="1">
      <c r="A1" s="51"/>
      <c r="B1" s="52" t="s">
        <v>80</v>
      </c>
      <c r="C1" s="57" t="s">
        <v>90</v>
      </c>
      <c r="D1" s="54"/>
      <c r="E1" s="54"/>
      <c r="F1" s="54"/>
    </row>
    <row r="2" spans="1:7" ht="16.2" customHeight="1" thickTop="1" thickBot="1">
      <c r="A2" s="55"/>
      <c r="B2" s="56" t="s">
        <v>89</v>
      </c>
      <c r="C2" s="56">
        <v>2</v>
      </c>
      <c r="D2" s="54"/>
      <c r="E2" s="54"/>
      <c r="F2" s="54"/>
    </row>
    <row r="3" spans="1:7" ht="16.2" customHeight="1" thickTop="1">
      <c r="A3" s="49" t="s">
        <v>42</v>
      </c>
      <c r="B3" s="50" t="s">
        <v>43</v>
      </c>
      <c r="C3" s="50" t="s">
        <v>44</v>
      </c>
      <c r="D3" s="36" t="s">
        <v>45</v>
      </c>
      <c r="E3" s="36" t="s">
        <v>46</v>
      </c>
      <c r="F3" s="36" t="s">
        <v>47</v>
      </c>
    </row>
    <row r="4" spans="1:7" ht="16.2" customHeight="1">
      <c r="A4" s="53" t="str" cm="1">
        <f t="array" ref="A4:F29">_xlfn._xlws.FILTER('BOM DB'!A:F,BOM分站!B2='BOM DB'!B:B)</f>
        <v>101057800700</v>
      </c>
      <c r="B4" s="54" t="str">
        <v>V3CT3-C-PCI-24-WI-CLGL-PS-DC-B-0110</v>
      </c>
      <c r="C4" s="54">
        <v>99</v>
      </c>
      <c r="D4" s="54" t="str">
        <v>Barcode scanner (刷槍)</v>
      </c>
      <c r="E4" s="54">
        <v>1</v>
      </c>
      <c r="F4" s="54" t="str">
        <v>Sensor</v>
      </c>
      <c r="G4" s="54">
        <f>E4*$C$2</f>
        <v>2</v>
      </c>
    </row>
    <row r="5" spans="1:7" ht="16.2" customHeight="1">
      <c r="A5" s="53" t="str">
        <v>101057800700</v>
      </c>
      <c r="B5" s="54" t="str">
        <v>V3CT3-C-PCI-24-WI-CLGL-PS-DC-B-0110</v>
      </c>
      <c r="C5" s="54" t="str">
        <v>315600821002</v>
      </c>
      <c r="D5" s="54" t="str">
        <v>CABLE DEVICE USB A TYPE MALE TO USB C TYPE MALE 1000MM</v>
      </c>
      <c r="E5" s="54">
        <v>4</v>
      </c>
      <c r="F5" s="54" t="str">
        <v>Sensor</v>
      </c>
      <c r="G5" s="54">
        <f t="shared" ref="G5:G29" si="0">E5*$C$2</f>
        <v>8</v>
      </c>
    </row>
    <row r="6" spans="1:7" ht="16.2" customHeight="1">
      <c r="A6" s="53" t="str">
        <v>101057800700</v>
      </c>
      <c r="B6" s="54" t="str">
        <v>V3CT3-C-PCI-24-WI-CLGL-PS-DC-B-0110</v>
      </c>
      <c r="C6" s="54" t="str">
        <v>315600217003</v>
      </c>
      <c r="D6" s="54" t="str">
        <v>CABLE POWER CORD 美規 APO0050070030180</v>
      </c>
      <c r="E6" s="54">
        <v>4</v>
      </c>
      <c r="F6" s="54" t="str">
        <v>Sensor</v>
      </c>
      <c r="G6" s="54">
        <f t="shared" si="0"/>
        <v>8</v>
      </c>
    </row>
    <row r="7" spans="1:7" ht="16.2" customHeight="1">
      <c r="A7" s="53" t="str">
        <v>101057800700</v>
      </c>
      <c r="B7" s="54" t="str">
        <v>V3CT3-C-PCI-24-WI-CLGL-PS-DC-B-0110</v>
      </c>
      <c r="C7" s="54" t="str">
        <v>319100042007</v>
      </c>
      <c r="D7" s="54" t="str">
        <v>ADAPTOR 100~240V DC PLUG 1.7MM 9V/4.5A PW04-945A</v>
      </c>
      <c r="E7" s="54">
        <v>4</v>
      </c>
      <c r="F7" s="54" t="str">
        <v>Sensor</v>
      </c>
      <c r="G7" s="54">
        <f t="shared" si="0"/>
        <v>8</v>
      </c>
    </row>
    <row r="8" spans="1:7" ht="16.2" customHeight="1">
      <c r="A8" s="53" t="str">
        <v>101057800700</v>
      </c>
      <c r="B8" s="54" t="str">
        <v>V3CT3-C-PCI-24-WI-CLGL-PS-DC-B-0110</v>
      </c>
      <c r="C8" s="54">
        <v>315600821002</v>
      </c>
      <c r="D8" s="54" t="str">
        <v>CABLE DEVICE USB A TYPE MALE TO USB C TYPE MALE 1000MM</v>
      </c>
      <c r="E8" s="54">
        <v>50</v>
      </c>
      <c r="F8" s="54" t="str">
        <v>FW</v>
      </c>
      <c r="G8" s="54">
        <f t="shared" si="0"/>
        <v>100</v>
      </c>
    </row>
    <row r="9" spans="1:7" ht="16.2" customHeight="1">
      <c r="A9" s="53" t="str">
        <v>101057800700</v>
      </c>
      <c r="B9" s="54" t="str">
        <v>V3CT3-C-PCI-24-WI-CLGL-PS-DC-B-0110</v>
      </c>
      <c r="C9" s="54" t="str">
        <v>315600217003</v>
      </c>
      <c r="D9" s="54" t="str">
        <v>CABLE POWER CORD 美規 APO0050070030180</v>
      </c>
      <c r="E9" s="54">
        <v>50</v>
      </c>
      <c r="F9" s="54" t="str">
        <v>FW</v>
      </c>
      <c r="G9" s="54">
        <f t="shared" si="0"/>
        <v>100</v>
      </c>
    </row>
    <row r="10" spans="1:7" ht="16.2" customHeight="1">
      <c r="A10" s="53" t="str">
        <v>101057800700</v>
      </c>
      <c r="B10" s="54" t="str">
        <v>V3CT3-C-PCI-24-WI-CLGL-PS-DC-B-0110</v>
      </c>
      <c r="C10" s="54" t="str">
        <v>319100042007</v>
      </c>
      <c r="D10" s="54" t="str">
        <v>ADAPTOR 100~240V DC PLUG 1.7MM 9V/4.5A PW04-945A</v>
      </c>
      <c r="E10" s="54">
        <v>50</v>
      </c>
      <c r="F10" s="54" t="str">
        <v>FW</v>
      </c>
      <c r="G10" s="54">
        <f t="shared" si="0"/>
        <v>100</v>
      </c>
    </row>
    <row r="11" spans="1:7" ht="16.2" customHeight="1">
      <c r="A11" s="53" t="str">
        <v>101057800700</v>
      </c>
      <c r="B11" s="54" t="str">
        <v>V3CT3-C-PCI-24-WI-CLGL-PS-DC-B-0110</v>
      </c>
      <c r="C11" s="54">
        <v>99</v>
      </c>
      <c r="D11" s="54" t="str">
        <v>Meter三用電錶</v>
      </c>
      <c r="E11" s="54">
        <v>4</v>
      </c>
      <c r="F11" s="54" t="str">
        <v>FW</v>
      </c>
      <c r="G11" s="54">
        <f t="shared" si="0"/>
        <v>8</v>
      </c>
    </row>
    <row r="12" spans="1:7" ht="16.2" customHeight="1">
      <c r="A12" s="53" t="str">
        <v>101057800700</v>
      </c>
      <c r="B12" s="54" t="str">
        <v>V3CT3-C-PCI-24-WI-CLGL-PS-DC-B-0110</v>
      </c>
      <c r="C12" s="54">
        <v>99</v>
      </c>
      <c r="D12" s="54" t="str">
        <v>USB 16G</v>
      </c>
      <c r="E12" s="54">
        <v>50</v>
      </c>
      <c r="F12" s="54" t="str">
        <v>FW</v>
      </c>
      <c r="G12" s="54">
        <f t="shared" si="0"/>
        <v>100</v>
      </c>
    </row>
    <row r="13" spans="1:7" ht="16.2" customHeight="1">
      <c r="A13" s="53" t="str">
        <v>101057800700</v>
      </c>
      <c r="B13" s="54" t="str">
        <v>V3CT3-C-PCI-24-WI-CLGL-PS-DC-B-0110</v>
      </c>
      <c r="C13" s="54">
        <v>99</v>
      </c>
      <c r="D13" s="54" t="str">
        <v>TCV Meter  電壓流表</v>
      </c>
      <c r="E13" s="54">
        <v>4</v>
      </c>
      <c r="F13" s="54" t="str">
        <v>FW</v>
      </c>
      <c r="G13" s="54">
        <f t="shared" si="0"/>
        <v>8</v>
      </c>
    </row>
    <row r="14" spans="1:7" ht="16.2" customHeight="1">
      <c r="A14" s="53" t="str">
        <v>101057800700</v>
      </c>
      <c r="B14" s="54" t="str">
        <v>V3CT3-C-PCI-24-WI-CLGL-PS-DC-B-0110</v>
      </c>
      <c r="C14" s="54">
        <v>99</v>
      </c>
      <c r="D14" s="54" t="str">
        <v>BROWAY 5Gbps USB 3.0  HUB 10埠集線器</v>
      </c>
      <c r="E14" s="54">
        <v>6</v>
      </c>
      <c r="F14" s="54" t="str">
        <v>FCT</v>
      </c>
      <c r="G14" s="54">
        <f t="shared" si="0"/>
        <v>12</v>
      </c>
    </row>
    <row r="15" spans="1:7" ht="16.2" customHeight="1">
      <c r="A15" s="53" t="str">
        <v>101057800700</v>
      </c>
      <c r="B15" s="54" t="str">
        <v>V3CT3-C-PCI-24-WI-CLGL-PS-DC-B-0110</v>
      </c>
      <c r="C15" s="54">
        <v>99</v>
      </c>
      <c r="D15" s="54" t="str">
        <v>CABLE USB A MALE TO USB A MALE L:1000mm</v>
      </c>
      <c r="E15" s="54">
        <v>12</v>
      </c>
      <c r="F15" s="54" t="str">
        <v>FCT</v>
      </c>
      <c r="G15" s="54">
        <f t="shared" si="0"/>
        <v>24</v>
      </c>
    </row>
    <row r="16" spans="1:7" ht="16.2" customHeight="1">
      <c r="A16" s="53" t="str">
        <v>101057800700</v>
      </c>
      <c r="B16" s="54" t="str">
        <v>V3CT3-C-PCI-24-WI-CLGL-PS-DC-B-0110</v>
      </c>
      <c r="C16" s="54">
        <v>99</v>
      </c>
      <c r="D16" s="54" t="str">
        <v>USB 2.0 A公 to RS-232 轉接盒</v>
      </c>
      <c r="E16" s="54">
        <v>12</v>
      </c>
      <c r="F16" s="54" t="str">
        <v>FCT</v>
      </c>
      <c r="G16" s="54">
        <f t="shared" si="0"/>
        <v>24</v>
      </c>
    </row>
    <row r="17" spans="1:7" ht="16.2" customHeight="1">
      <c r="A17" s="53" t="str">
        <v>101057800700</v>
      </c>
      <c r="B17" s="54" t="str">
        <v>V3CT3-C-PCI-24-WI-CLGL-PS-DC-B-0110</v>
      </c>
      <c r="C17" s="54" t="str">
        <v>315600217003</v>
      </c>
      <c r="D17" s="54" t="str">
        <v>CABLE POWER CORD 美規</v>
      </c>
      <c r="E17" s="54">
        <v>6</v>
      </c>
      <c r="F17" s="54" t="str">
        <v>FCT</v>
      </c>
      <c r="G17" s="54">
        <f t="shared" si="0"/>
        <v>12</v>
      </c>
    </row>
    <row r="18" spans="1:7" ht="16.2" customHeight="1">
      <c r="A18" s="53" t="str">
        <v>101057800700</v>
      </c>
      <c r="B18" s="54" t="str">
        <v>V3CT3-C-PCI-24-WI-CLGL-PS-DC-B-0110</v>
      </c>
      <c r="C18" s="54" t="str">
        <v>319100042007</v>
      </c>
      <c r="D18" s="54" t="str">
        <v>(用完為止,禁止採購)ADAPTOR 100~240V DC PLUG 1.7MM 9V/4.5A PW04-945A</v>
      </c>
      <c r="E18" s="54">
        <v>6</v>
      </c>
      <c r="F18" s="54" t="str">
        <v>FCT</v>
      </c>
      <c r="G18" s="54">
        <f t="shared" si="0"/>
        <v>12</v>
      </c>
    </row>
    <row r="19" spans="1:7" ht="16.2" customHeight="1">
      <c r="A19" s="53" t="str">
        <v>101057800700</v>
      </c>
      <c r="B19" s="54" t="str">
        <v>V3CT3-C-PCI-24-WI-CLGL-PS-DC-B-0110</v>
      </c>
      <c r="C19" s="54" t="str">
        <v>315600660000</v>
      </c>
      <c r="D19" s="54" t="str">
        <v>CABLE FOR VEGA3000 RJ9 MALE 4P4C TO DB9P FEMALE L:1500MM</v>
      </c>
      <c r="E19" s="54">
        <v>6</v>
      </c>
      <c r="F19" s="54" t="str">
        <v>FCT</v>
      </c>
      <c r="G19" s="54">
        <f t="shared" si="0"/>
        <v>12</v>
      </c>
    </row>
    <row r="20" spans="1:7" ht="16.2" customHeight="1">
      <c r="A20" s="53" t="str">
        <v>101057800700</v>
      </c>
      <c r="B20" s="54" t="str">
        <v>V3CT3-C-PCI-24-WI-CLGL-PS-DC-B-0110</v>
      </c>
      <c r="C20" s="54" t="str">
        <v>315601026000</v>
      </c>
      <c r="D20" s="54" t="str">
        <v>CABLE DB9P FEMALE TO RJ12 6P6C MALE L:1650MM</v>
      </c>
      <c r="E20" s="54">
        <v>6</v>
      </c>
      <c r="F20" s="54" t="str">
        <v>FCT</v>
      </c>
      <c r="G20" s="54">
        <f t="shared" si="0"/>
        <v>12</v>
      </c>
    </row>
    <row r="21" spans="1:7" ht="16.2" customHeight="1">
      <c r="A21" s="53" t="str">
        <v>101057800700</v>
      </c>
      <c r="B21" s="54" t="str">
        <v>V3CT3-C-PCI-24-WI-CLGL-PS-DC-B-0110</v>
      </c>
      <c r="C21" s="54">
        <v>99</v>
      </c>
      <c r="D21" s="54" t="str">
        <v>SAM Card</v>
      </c>
      <c r="E21" s="54">
        <v>12</v>
      </c>
      <c r="F21" s="54" t="str">
        <v>FCT</v>
      </c>
      <c r="G21" s="54">
        <f t="shared" si="0"/>
        <v>24</v>
      </c>
    </row>
    <row r="22" spans="1:7" ht="16.2" customHeight="1">
      <c r="A22" s="53" t="str">
        <v>101057800700</v>
      </c>
      <c r="B22" s="54" t="str">
        <v>V3CT3-C-PCI-24-WI-CLGL-PS-DC-B-0110</v>
      </c>
      <c r="C22" s="54">
        <v>99</v>
      </c>
      <c r="D22" s="54" t="str">
        <v>MicroSD 16GB</v>
      </c>
      <c r="E22" s="54">
        <v>6</v>
      </c>
      <c r="F22" s="54" t="str">
        <v>FCT</v>
      </c>
      <c r="G22" s="54">
        <f t="shared" si="0"/>
        <v>12</v>
      </c>
    </row>
    <row r="23" spans="1:7" ht="16.2" customHeight="1">
      <c r="A23" s="53" t="str">
        <v>101057800700</v>
      </c>
      <c r="B23" s="54" t="str">
        <v>V3CT3-C-PCI-24-WI-CLGL-PS-DC-B-0110</v>
      </c>
      <c r="C23" s="54">
        <v>99</v>
      </c>
      <c r="D23" s="54" t="str">
        <v>ICC Card</v>
      </c>
      <c r="E23" s="54">
        <v>6</v>
      </c>
      <c r="F23" s="54" t="str">
        <v>FCT</v>
      </c>
      <c r="G23" s="54">
        <f t="shared" si="0"/>
        <v>12</v>
      </c>
    </row>
    <row r="24" spans="1:7" ht="16.2" customHeight="1">
      <c r="A24" s="53" t="str">
        <v>101057800700</v>
      </c>
      <c r="B24" s="54" t="str">
        <v>V3CT3-C-PCI-24-WI-CLGL-PS-DC-B-0110</v>
      </c>
      <c r="C24" s="54">
        <v>99</v>
      </c>
      <c r="D24" s="54" t="str">
        <v>Printer paper</v>
      </c>
      <c r="E24" s="54">
        <v>6</v>
      </c>
      <c r="F24" s="54" t="str">
        <v>FCT</v>
      </c>
      <c r="G24" s="54">
        <f t="shared" si="0"/>
        <v>12</v>
      </c>
    </row>
    <row r="25" spans="1:7" ht="16.2" customHeight="1">
      <c r="A25" s="53" t="str">
        <v>101057800700</v>
      </c>
      <c r="B25" s="54" t="str">
        <v>V3CT3-C-PCI-24-WI-CLGL-PS-DC-B-0110</v>
      </c>
      <c r="C25" s="54" t="str">
        <v>315600217003</v>
      </c>
      <c r="D25" s="54" t="str">
        <v>CABLE POWER CORD 美規 APO0050070030180</v>
      </c>
      <c r="E25" s="54">
        <v>32</v>
      </c>
      <c r="F25" s="54" t="str">
        <v>RUN IN</v>
      </c>
      <c r="G25" s="54">
        <f t="shared" si="0"/>
        <v>64</v>
      </c>
    </row>
    <row r="26" spans="1:7" ht="16.2" customHeight="1">
      <c r="A26" s="53" t="str">
        <v>101057800700</v>
      </c>
      <c r="B26" s="54" t="str">
        <v>V3CT3-C-PCI-24-WI-CLGL-PS-DC-B-0110</v>
      </c>
      <c r="C26" s="54" t="str">
        <v>319100042007</v>
      </c>
      <c r="D26" s="54" t="str">
        <v>ADAPTOR 100~240V DC PLUG 1.7MM 9V/4.5A PW04-945A</v>
      </c>
      <c r="E26" s="54">
        <v>32</v>
      </c>
      <c r="F26" s="54" t="str">
        <v>RUN IN</v>
      </c>
      <c r="G26" s="54">
        <f t="shared" si="0"/>
        <v>64</v>
      </c>
    </row>
    <row r="27" spans="1:7" ht="16.2" customHeight="1">
      <c r="A27" s="53" t="str">
        <v>101057800700</v>
      </c>
      <c r="B27" s="54" t="str">
        <v>V3CT3-C-PCI-24-WI-CLGL-PS-DC-B-0110</v>
      </c>
      <c r="C27" s="54" t="str">
        <v xml:space="preserve">315600716001	</v>
      </c>
      <c r="D27" s="54" t="str">
        <v>CABLE DC 4.0*1.7 FEMALE TO DC 4.0*1.7 MALE AND DC 4.0*1.7 MALE L:350MM</v>
      </c>
      <c r="E27" s="54">
        <v>32</v>
      </c>
      <c r="F27" s="54" t="str">
        <v>RUN IN</v>
      </c>
      <c r="G27" s="54">
        <f t="shared" si="0"/>
        <v>64</v>
      </c>
    </row>
    <row r="28" spans="1:7" ht="16.2" customHeight="1">
      <c r="A28" s="53" t="str">
        <v>101057800700</v>
      </c>
      <c r="B28" s="54" t="str">
        <v>V3CT3-C-PCI-24-WI-CLGL-PS-DC-B-0110</v>
      </c>
      <c r="C28" s="54" t="str">
        <v>315600821002</v>
      </c>
      <c r="D28" s="54" t="str">
        <v>CABLE DEVICE USB A TYPE MALE TO USB C TYPE MALE 1000MM</v>
      </c>
      <c r="E28" s="54">
        <v>32</v>
      </c>
      <c r="F28" s="54" t="str">
        <v>RUN IN</v>
      </c>
      <c r="G28" s="54">
        <f t="shared" si="0"/>
        <v>64</v>
      </c>
    </row>
    <row r="29" spans="1:7" ht="16.2" customHeight="1">
      <c r="A29" s="53" t="str">
        <v>101057800700</v>
      </c>
      <c r="B29" s="54" t="str">
        <v>V3CT3-C-PCI-24-WI-CLGL-PS-DC-B-0110</v>
      </c>
      <c r="C29" s="54">
        <v>99</v>
      </c>
      <c r="D29" s="54" t="str">
        <v>DC 9V to 9V and USB A母</v>
      </c>
      <c r="E29" s="54">
        <v>32</v>
      </c>
      <c r="F29" s="54" t="str">
        <v>RUN IN</v>
      </c>
      <c r="G29" s="54">
        <f t="shared" si="0"/>
        <v>64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690445-1D2B-44DF-BCC5-C165339F93B0}">
          <x14:formula1>
            <xm:f>_xlfn.ANCHORARRAY(數據庫!$G$2)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29D9-6CDB-4221-8757-871B1B76FD9E}">
  <sheetPr codeName="工作表3"/>
  <dimension ref="A1:H5"/>
  <sheetViews>
    <sheetView zoomScaleNormal="100" workbookViewId="0">
      <pane ySplit="1" topLeftCell="A2" activePane="bottomLeft" state="frozen"/>
      <selection activeCell="C221" sqref="C221"/>
      <selection pane="bottomLeft" activeCell="C20" sqref="C20"/>
    </sheetView>
  </sheetViews>
  <sheetFormatPr defaultRowHeight="15"/>
  <cols>
    <col min="1" max="1" width="11.25" style="5" bestFit="1" customWidth="1"/>
    <col min="2" max="2" width="14.75" style="29" bestFit="1" customWidth="1"/>
    <col min="3" max="3" width="30.125" style="5" bestFit="1" customWidth="1"/>
    <col min="4" max="4" width="111.5" style="5" bestFit="1" customWidth="1"/>
    <col min="5" max="5" width="11.625" style="5" bestFit="1" customWidth="1"/>
    <col min="6" max="7" width="8.125" style="5" bestFit="1" customWidth="1"/>
    <col min="8" max="10" width="8.875" customWidth="1"/>
  </cols>
  <sheetData>
    <row r="1" spans="1:8" s="11" customFormat="1" ht="22.2">
      <c r="A1" s="10" t="s">
        <v>0</v>
      </c>
      <c r="B1" s="28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13</v>
      </c>
      <c r="H1" s="14" t="s">
        <v>15</v>
      </c>
    </row>
    <row r="2" spans="1:8">
      <c r="A2" s="9">
        <v>45677</v>
      </c>
      <c r="B2" s="29">
        <v>990000000003</v>
      </c>
      <c r="C2" s="5">
        <v>7457547</v>
      </c>
      <c r="D2" s="5">
        <v>5252</v>
      </c>
      <c r="E2" s="5" t="s">
        <v>10</v>
      </c>
      <c r="F2" s="5">
        <v>666</v>
      </c>
      <c r="G2" s="5" t="s">
        <v>26</v>
      </c>
      <c r="H2" s="5">
        <v>4</v>
      </c>
    </row>
    <row r="3" spans="1:8">
      <c r="A3" s="9">
        <v>45677</v>
      </c>
      <c r="B3" s="29">
        <v>990000000003</v>
      </c>
      <c r="C3" s="5">
        <v>7457547</v>
      </c>
      <c r="D3" s="5">
        <v>5252</v>
      </c>
      <c r="E3" s="5" t="s">
        <v>10</v>
      </c>
      <c r="F3" s="5">
        <v>500</v>
      </c>
      <c r="G3" s="5" t="s">
        <v>26</v>
      </c>
      <c r="H3" s="5">
        <v>4</v>
      </c>
    </row>
    <row r="4" spans="1:8">
      <c r="A4" s="9">
        <v>45678</v>
      </c>
      <c r="B4" s="29">
        <v>990000000003</v>
      </c>
      <c r="C4" s="5">
        <v>7457547</v>
      </c>
      <c r="D4" s="5">
        <v>5252</v>
      </c>
      <c r="E4" s="5" t="s">
        <v>14</v>
      </c>
      <c r="F4" s="5">
        <v>399</v>
      </c>
      <c r="G4" s="5" t="s">
        <v>27</v>
      </c>
      <c r="H4" s="5">
        <v>4</v>
      </c>
    </row>
    <row r="5" spans="1:8">
      <c r="A5" s="9">
        <v>45678</v>
      </c>
      <c r="B5" s="29">
        <v>990000000003</v>
      </c>
      <c r="C5" s="5">
        <v>7457547</v>
      </c>
      <c r="D5" s="5">
        <v>5252</v>
      </c>
      <c r="E5" s="5" t="s">
        <v>14</v>
      </c>
      <c r="F5" s="5">
        <v>331</v>
      </c>
      <c r="G5" s="5" t="s">
        <v>27</v>
      </c>
      <c r="H5" s="5">
        <v>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ECA9-0B1E-4770-A536-3A1D929EA6AA}">
  <sheetPr codeName="工作表2"/>
  <dimension ref="A1:F7"/>
  <sheetViews>
    <sheetView zoomScale="70" zoomScaleNormal="70" workbookViewId="0">
      <pane ySplit="1" topLeftCell="A2" activePane="bottomLeft" state="frozen"/>
      <selection activeCell="E15" sqref="E15"/>
      <selection pane="bottomLeft" activeCell="A7" sqref="A7"/>
    </sheetView>
  </sheetViews>
  <sheetFormatPr defaultColWidth="8.875" defaultRowHeight="15"/>
  <cols>
    <col min="1" max="1" width="25.875" style="27" customWidth="1"/>
    <col min="2" max="2" width="32.625" style="24" bestFit="1" customWidth="1"/>
    <col min="3" max="3" width="116.875" style="8" bestFit="1" customWidth="1"/>
    <col min="4" max="4" width="15.875" style="5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16</v>
      </c>
      <c r="B1" s="16" t="s">
        <v>2</v>
      </c>
      <c r="C1" s="16" t="s">
        <v>3</v>
      </c>
      <c r="D1" s="16" t="s">
        <v>18</v>
      </c>
      <c r="E1" s="17" t="s">
        <v>15</v>
      </c>
      <c r="F1" s="32" t="s">
        <v>19</v>
      </c>
    </row>
    <row r="2" spans="1:6" ht="15.6">
      <c r="A2" s="26">
        <v>990000000001</v>
      </c>
      <c r="B2" s="2" t="s">
        <v>25</v>
      </c>
      <c r="C2" s="19">
        <v>3232</v>
      </c>
      <c r="D2" s="15">
        <f>SUMIFS(出入庫!F:F,出入庫!E:E,"入庫",出入庫!B:B,表格2[[#This Row],[料號]])-SUMIFS(出入庫!F:F,出入庫!E:E,"出庫",出入庫!B:B,表格2[[#This Row],[料號]])</f>
        <v>0</v>
      </c>
      <c r="E2" s="21">
        <v>1</v>
      </c>
      <c r="F2" s="22"/>
    </row>
    <row r="3" spans="1:6" ht="15.6">
      <c r="A3" s="26">
        <v>990000000002</v>
      </c>
      <c r="B3" s="2">
        <v>66666</v>
      </c>
      <c r="C3" s="19">
        <v>666666</v>
      </c>
      <c r="D3" s="15">
        <f>SUMIFS(出入庫!F:F,出入庫!E:E,"入庫",出入庫!B:B,表格2[[#This Row],[料號]])-SUMIFS(出入庫!F:F,出入庫!E:E,"出庫",出入庫!B:B,表格2[[#This Row],[料號]])</f>
        <v>0</v>
      </c>
      <c r="E3" s="21">
        <v>3</v>
      </c>
      <c r="F3" s="22"/>
    </row>
    <row r="4" spans="1:6" ht="15.6">
      <c r="A4" s="26">
        <v>990000000003</v>
      </c>
      <c r="B4" s="2">
        <v>7457547</v>
      </c>
      <c r="C4" s="19">
        <v>5252</v>
      </c>
      <c r="D4" s="15">
        <f>SUMIFS(出入庫!F:F,出入庫!E:E,"入庫",出入庫!B:B,表格2[[#This Row],[料號]])-SUMIFS(出入庫!F:F,出入庫!E:E,"出庫",出入庫!B:B,表格2[[#This Row],[料號]])</f>
        <v>436</v>
      </c>
      <c r="E4" s="21">
        <v>4</v>
      </c>
      <c r="F4" s="22"/>
    </row>
    <row r="5" spans="1:6" ht="15.6">
      <c r="A5" s="26">
        <v>990000000004</v>
      </c>
      <c r="B5" s="2" t="s">
        <v>34</v>
      </c>
      <c r="C5" s="19" t="s">
        <v>35</v>
      </c>
      <c r="D5" s="15">
        <f>SUMIFS(出入庫!F:F,出入庫!E:E,"入庫",出入庫!B:B,表格2[[#This Row],[料號]])-SUMIFS(出入庫!F:F,出入庫!E:E,"出庫",出入庫!B:B,表格2[[#This Row],[料號]])</f>
        <v>0</v>
      </c>
      <c r="E5" s="21">
        <v>2</v>
      </c>
      <c r="F5" s="22"/>
    </row>
    <row r="6" spans="1:6" ht="15.6">
      <c r="A6" s="26">
        <v>990000000005</v>
      </c>
      <c r="B6" s="2">
        <v>165161</v>
      </c>
      <c r="C6" s="19">
        <v>73343</v>
      </c>
      <c r="D6" s="15">
        <f>SUMIFS(出入庫!F:F,出入庫!E:E,"入庫",出入庫!B:B,表格2[[#This Row],[料號]])-SUMIFS(出入庫!F:F,出入庫!E:E,"出庫",出入庫!B:B,表格2[[#This Row],[料號]])</f>
        <v>0</v>
      </c>
      <c r="E6" s="21">
        <v>5</v>
      </c>
      <c r="F6" s="22"/>
    </row>
    <row r="7" spans="1:6" ht="15.6">
      <c r="A7" s="26">
        <v>990000000006</v>
      </c>
      <c r="B7" s="2">
        <v>6646</v>
      </c>
      <c r="C7" s="19">
        <v>224234</v>
      </c>
      <c r="D7" s="65">
        <f>SUMIFS(出入庫!F:F,出入庫!E:E,"入庫",出入庫!B:B,表格2[[#This Row],[料號]])-SUMIFS(出入庫!F:F,出入庫!E:E,"出庫",出入庫!B:B,表格2[[#This Row],[料號]])</f>
        <v>0</v>
      </c>
      <c r="E7" s="21">
        <v>6</v>
      </c>
      <c r="F7" s="22"/>
    </row>
  </sheetData>
  <phoneticPr fontId="1" type="noConversion"/>
  <conditionalFormatting sqref="A1:A1048576">
    <cfRule type="duplicateValues" dxfId="53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0768-4AC9-42BC-A866-DB4593652E21}">
  <sheetPr codeName="工作表11"/>
  <dimension ref="A1:F7"/>
  <sheetViews>
    <sheetView zoomScale="70" zoomScaleNormal="70" workbookViewId="0">
      <pane ySplit="1" topLeftCell="A2" activePane="bottomLeft" state="frozen"/>
      <selection activeCell="E15" sqref="E15"/>
      <selection pane="bottomLeft" activeCell="A7" sqref="A7"/>
    </sheetView>
  </sheetViews>
  <sheetFormatPr defaultColWidth="8.875" defaultRowHeight="15"/>
  <cols>
    <col min="1" max="1" width="25.875" style="27" customWidth="1"/>
    <col min="2" max="2" width="32.625" style="24" bestFit="1" customWidth="1"/>
    <col min="3" max="3" width="116.875" style="8" bestFit="1" customWidth="1"/>
    <col min="4" max="4" width="15.875" style="5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16</v>
      </c>
      <c r="B1" s="16" t="s">
        <v>2</v>
      </c>
      <c r="C1" s="16" t="s">
        <v>3</v>
      </c>
      <c r="D1" s="16" t="s">
        <v>18</v>
      </c>
      <c r="E1" s="17" t="s">
        <v>15</v>
      </c>
      <c r="F1" s="32" t="s">
        <v>19</v>
      </c>
    </row>
    <row r="2" spans="1:6" ht="15.6">
      <c r="A2" s="26">
        <v>990000000001</v>
      </c>
      <c r="B2" s="2" t="s">
        <v>25</v>
      </c>
      <c r="C2" s="19">
        <v>3232</v>
      </c>
      <c r="D2" s="1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2" s="21">
        <v>1</v>
      </c>
      <c r="F2" s="22"/>
    </row>
    <row r="3" spans="1:6" ht="15.6">
      <c r="A3" s="26">
        <v>990000000002</v>
      </c>
      <c r="B3" s="2">
        <v>66666</v>
      </c>
      <c r="C3" s="19">
        <v>666666</v>
      </c>
      <c r="D3" s="1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3" s="21">
        <v>3</v>
      </c>
      <c r="F3" s="22"/>
    </row>
    <row r="4" spans="1:6" ht="15.6">
      <c r="A4" s="26">
        <v>990000000003</v>
      </c>
      <c r="B4" s="2">
        <v>7457547</v>
      </c>
      <c r="C4" s="19">
        <v>5252</v>
      </c>
      <c r="D4" s="15">
        <f>SUMIFS(出入庫!F:F, 出入庫!E:E, "出庫", 出入庫!B:B, 表格2_7[[#This Row],[料號]], 出入庫!G:G, "線上") - SUMIFS(出入庫!F:F, 出入庫!E:E, "入庫", 出入庫!B:B, 表格2_7[[#This Row],[料號]], 出入庫!G:G, "線上")</f>
        <v>730</v>
      </c>
      <c r="E4" s="21">
        <v>4</v>
      </c>
      <c r="F4" s="22"/>
    </row>
    <row r="5" spans="1:6" ht="15.6">
      <c r="A5" s="26">
        <v>990000000004</v>
      </c>
      <c r="B5" s="2" t="s">
        <v>34</v>
      </c>
      <c r="C5" s="19" t="s">
        <v>35</v>
      </c>
      <c r="D5" s="1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5" s="21">
        <v>2</v>
      </c>
      <c r="F5" s="22"/>
    </row>
    <row r="6" spans="1:6" ht="15.6">
      <c r="A6" s="26">
        <v>990000000005</v>
      </c>
      <c r="B6" s="2">
        <v>165161</v>
      </c>
      <c r="C6" s="19">
        <v>73343</v>
      </c>
      <c r="D6" s="1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6" s="21">
        <v>5</v>
      </c>
      <c r="F6" s="22"/>
    </row>
    <row r="7" spans="1:6" ht="15.6">
      <c r="A7" s="26">
        <v>990000000006</v>
      </c>
      <c r="B7" s="2">
        <v>6646</v>
      </c>
      <c r="C7" s="19">
        <v>224234</v>
      </c>
      <c r="D7" s="6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7" s="21">
        <v>6</v>
      </c>
      <c r="F7" s="22"/>
    </row>
  </sheetData>
  <phoneticPr fontId="1" type="noConversion"/>
  <conditionalFormatting sqref="A1:A1048576">
    <cfRule type="duplicateValues" dxfId="41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453D-BCD6-4245-B3B4-FA2F26EEB4A7}">
  <sheetPr codeName="工作表9"/>
  <dimension ref="A1:F7"/>
  <sheetViews>
    <sheetView zoomScale="70" zoomScaleNormal="70" workbookViewId="0">
      <pane ySplit="1" topLeftCell="A2" activePane="bottomLeft" state="frozen"/>
      <selection activeCell="E15" sqref="E15"/>
      <selection pane="bottomLeft" activeCell="A7" sqref="A7"/>
    </sheetView>
  </sheetViews>
  <sheetFormatPr defaultColWidth="8.875" defaultRowHeight="15"/>
  <cols>
    <col min="1" max="1" width="25.875" style="27" customWidth="1"/>
    <col min="2" max="2" width="32.625" style="24" bestFit="1" customWidth="1"/>
    <col min="3" max="3" width="116.875" style="8" bestFit="1" customWidth="1"/>
    <col min="4" max="4" width="15.875" style="5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16</v>
      </c>
      <c r="B1" s="16" t="s">
        <v>2</v>
      </c>
      <c r="C1" s="16" t="s">
        <v>3</v>
      </c>
      <c r="D1" s="16" t="s">
        <v>18</v>
      </c>
      <c r="E1" s="17" t="s">
        <v>15</v>
      </c>
      <c r="F1" s="32" t="s">
        <v>19</v>
      </c>
    </row>
    <row r="2" spans="1:6" ht="15.6">
      <c r="A2" s="26">
        <v>990000000001</v>
      </c>
      <c r="B2" s="2" t="s">
        <v>25</v>
      </c>
      <c r="C2" s="19">
        <v>3232</v>
      </c>
      <c r="D2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2" s="21">
        <v>1</v>
      </c>
      <c r="F2" s="22"/>
    </row>
    <row r="3" spans="1:6" ht="15.6">
      <c r="A3" s="26">
        <v>990000000002</v>
      </c>
      <c r="B3" s="2">
        <v>66666</v>
      </c>
      <c r="C3" s="19">
        <v>666666</v>
      </c>
      <c r="D3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3" s="21">
        <v>3</v>
      </c>
      <c r="F3" s="22"/>
    </row>
    <row r="4" spans="1:6" ht="15.6">
      <c r="A4" s="26">
        <v>990000000003</v>
      </c>
      <c r="B4" s="2">
        <v>7457547</v>
      </c>
      <c r="C4" s="19">
        <v>5252</v>
      </c>
      <c r="D4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4" s="21">
        <v>4</v>
      </c>
      <c r="F4" s="22"/>
    </row>
    <row r="5" spans="1:6" ht="15.6">
      <c r="A5" s="26">
        <v>990000000004</v>
      </c>
      <c r="B5" s="2" t="s">
        <v>34</v>
      </c>
      <c r="C5" s="19" t="s">
        <v>35</v>
      </c>
      <c r="D5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5" s="21">
        <v>2</v>
      </c>
      <c r="F5" s="22"/>
    </row>
    <row r="6" spans="1:6" ht="15.6">
      <c r="A6" s="26">
        <v>990000000005</v>
      </c>
      <c r="B6" s="2">
        <v>165161</v>
      </c>
      <c r="C6" s="19">
        <v>73343</v>
      </c>
      <c r="D6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6" s="21">
        <v>5</v>
      </c>
      <c r="F6" s="22"/>
    </row>
    <row r="7" spans="1:6" ht="15.6">
      <c r="A7" s="26">
        <v>990000000006</v>
      </c>
      <c r="B7" s="2">
        <v>6646</v>
      </c>
      <c r="C7" s="19">
        <v>224234</v>
      </c>
      <c r="D7" s="6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7" s="21">
        <v>6</v>
      </c>
      <c r="F7" s="22"/>
    </row>
  </sheetData>
  <phoneticPr fontId="1" type="noConversion"/>
  <conditionalFormatting sqref="A1:A1048576">
    <cfRule type="duplicateValues" dxfId="29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62199-1797-4507-A858-E8F6B78548A2}">
  <sheetPr codeName="工作表10"/>
  <dimension ref="A1:F7"/>
  <sheetViews>
    <sheetView zoomScale="70" zoomScaleNormal="70" workbookViewId="0">
      <pane ySplit="1" topLeftCell="A2" activePane="bottomLeft" state="frozen"/>
      <selection activeCell="E15" sqref="E15"/>
      <selection pane="bottomLeft" activeCell="C32" sqref="C32"/>
    </sheetView>
  </sheetViews>
  <sheetFormatPr defaultColWidth="8.875" defaultRowHeight="15"/>
  <cols>
    <col min="1" max="1" width="25.875" style="27" customWidth="1"/>
    <col min="2" max="2" width="32.625" style="24" bestFit="1" customWidth="1"/>
    <col min="3" max="3" width="116.875" style="8" bestFit="1" customWidth="1"/>
    <col min="4" max="4" width="15.875" style="5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16</v>
      </c>
      <c r="B1" s="16" t="s">
        <v>2</v>
      </c>
      <c r="C1" s="16" t="s">
        <v>3</v>
      </c>
      <c r="D1" s="16" t="s">
        <v>18</v>
      </c>
      <c r="E1" s="17" t="s">
        <v>15</v>
      </c>
      <c r="F1" s="32" t="s">
        <v>19</v>
      </c>
    </row>
    <row r="2" spans="1:6" ht="15.6">
      <c r="A2" s="26">
        <v>990000000001</v>
      </c>
      <c r="B2" s="2" t="s">
        <v>25</v>
      </c>
      <c r="C2" s="19">
        <v>3232</v>
      </c>
      <c r="D2" s="15">
        <f>SUMIFS(出入庫!F:F, 出入庫!E:E, "出庫", 出入庫!B:B, 表格2_456[[#This Row],[料號]], 出入庫!G:G, "不良品")</f>
        <v>0</v>
      </c>
      <c r="E2" s="21">
        <v>1</v>
      </c>
      <c r="F2" s="22"/>
    </row>
    <row r="3" spans="1:6" ht="15.6">
      <c r="A3" s="26">
        <v>990000000002</v>
      </c>
      <c r="B3" s="2">
        <v>66666</v>
      </c>
      <c r="C3" s="19">
        <v>666666</v>
      </c>
      <c r="D3" s="15">
        <f>SUMIFS(出入庫!F:F, 出入庫!E:E, "出庫", 出入庫!B:B, 表格2_456[[#This Row],[料號]], 出入庫!G:G, "不良品")</f>
        <v>0</v>
      </c>
      <c r="E3" s="21">
        <v>3</v>
      </c>
      <c r="F3" s="22"/>
    </row>
    <row r="4" spans="1:6" ht="15.6">
      <c r="A4" s="26">
        <v>990000000003</v>
      </c>
      <c r="B4" s="2">
        <v>7457547</v>
      </c>
      <c r="C4" s="19">
        <v>5252</v>
      </c>
      <c r="D4" s="15">
        <f>SUMIFS(出入庫!F:F, 出入庫!E:E, "出庫", 出入庫!B:B, 表格2_456[[#This Row],[料號]], 出入庫!G:G, "不良品")</f>
        <v>0</v>
      </c>
      <c r="E4" s="21">
        <v>4</v>
      </c>
      <c r="F4" s="22"/>
    </row>
    <row r="5" spans="1:6" ht="15.6">
      <c r="A5" s="26">
        <v>990000000004</v>
      </c>
      <c r="B5" s="2" t="s">
        <v>34</v>
      </c>
      <c r="C5" s="19" t="s">
        <v>35</v>
      </c>
      <c r="D5" s="15">
        <f>SUMIFS(出入庫!F:F, 出入庫!E:E, "出庫", 出入庫!B:B, 表格2_456[[#This Row],[料號]], 出入庫!G:G, "不良品")</f>
        <v>0</v>
      </c>
      <c r="E5" s="21">
        <v>2</v>
      </c>
      <c r="F5" s="22"/>
    </row>
    <row r="6" spans="1:6" ht="15.6">
      <c r="A6" s="26">
        <v>990000000005</v>
      </c>
      <c r="B6" s="2">
        <v>165161</v>
      </c>
      <c r="C6" s="19">
        <v>73343</v>
      </c>
      <c r="D6" s="15">
        <f>SUMIFS(出入庫!F:F, 出入庫!E:E, "出庫", 出入庫!B:B, 表格2_456[[#This Row],[料號]], 出入庫!G:G, "不良品")</f>
        <v>0</v>
      </c>
      <c r="E6" s="21">
        <v>5</v>
      </c>
      <c r="F6" s="22"/>
    </row>
    <row r="7" spans="1:6" ht="15.6">
      <c r="A7" s="26">
        <v>990000000006</v>
      </c>
      <c r="B7" s="2">
        <v>6646</v>
      </c>
      <c r="C7" s="19">
        <v>224234</v>
      </c>
      <c r="D7" s="65">
        <f>SUMIFS(出入庫!F:F, 出入庫!E:E, "出庫", 出入庫!B:B, 表格2_456[[#This Row],[料號]], 出入庫!G:G, "不良品")</f>
        <v>0</v>
      </c>
      <c r="E7" s="21">
        <v>6</v>
      </c>
      <c r="F7" s="22"/>
    </row>
  </sheetData>
  <phoneticPr fontId="1" type="noConversion"/>
  <conditionalFormatting sqref="A1:A1048576">
    <cfRule type="duplicateValues" dxfId="17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654F-B187-45C2-A741-21D8109C3BFA}">
  <sheetPr codeName="工作表4"/>
  <dimension ref="A1:G7"/>
  <sheetViews>
    <sheetView workbookViewId="0">
      <selection activeCell="G2" sqref="G2"/>
    </sheetView>
  </sheetViews>
  <sheetFormatPr defaultColWidth="8.875" defaultRowHeight="15"/>
  <cols>
    <col min="1" max="3" width="10.75" style="5" customWidth="1"/>
    <col min="4" max="4" width="56.375" style="5" bestFit="1" customWidth="1"/>
    <col min="5" max="5" width="8.875" style="5"/>
    <col min="6" max="6" width="14.75" style="29" bestFit="1" customWidth="1"/>
    <col min="7" max="7" width="42.875" style="5" bestFit="1" customWidth="1"/>
    <col min="8" max="8" width="85.75" style="5" bestFit="1" customWidth="1"/>
    <col min="9" max="9" width="3.5" style="5" bestFit="1" customWidth="1"/>
    <col min="10" max="10" width="8.75" style="5" bestFit="1" customWidth="1"/>
    <col min="11" max="16384" width="8.875" style="5"/>
  </cols>
  <sheetData>
    <row r="1" spans="1:7">
      <c r="A1" s="5" t="s">
        <v>4</v>
      </c>
      <c r="B1" s="5" t="s">
        <v>6</v>
      </c>
    </row>
    <row r="2" spans="1:7">
      <c r="A2" s="3" t="s">
        <v>7</v>
      </c>
      <c r="B2" s="3" t="s">
        <v>9</v>
      </c>
      <c r="C2" s="5" t="str" cm="1">
        <f t="array" ref="C2:C6">_xlfn.UNIQUE(_xlfn._xlws.FILTER(B2:B998,B2:B998&lt;&gt;""))</f>
        <v>新購</v>
      </c>
      <c r="D2" s="5" t="s">
        <v>11</v>
      </c>
      <c r="E2" s="18" t="s">
        <v>17</v>
      </c>
      <c r="F2" s="29" t="str" cm="1">
        <f t="array" ref="F2:F3">_xlfn.UNIQUE(_xlfn._xlws.FILTER('BOM DB'!A:A, 'BOM DB'!A:A&lt;&gt;""))</f>
        <v>101057800700</v>
      </c>
      <c r="G2" s="5" t="str" cm="1">
        <f t="array" ref="G2:G3">_xlfn.UNIQUE(_xlfn._xlws.FILTER('BOM DB'!B:B, 'BOM DB'!B:B&lt;&gt;""))</f>
        <v>V3CT3-C-PCI-24-WI-CLGL-PS-DC-B-0110</v>
      </c>
    </row>
    <row r="3" spans="1:7">
      <c r="A3" s="3"/>
      <c r="B3" s="3" t="s">
        <v>12</v>
      </c>
      <c r="C3" s="5" t="str">
        <v>盤點</v>
      </c>
      <c r="D3" s="5" t="e">
        <f>AND(LEN(#REF!) = 12, ISNUMBER(VALUE(#REF!)))</f>
        <v>#REF!</v>
      </c>
      <c r="F3" s="29">
        <v>101057800701</v>
      </c>
      <c r="G3" s="5">
        <v>33</v>
      </c>
    </row>
    <row r="4" spans="1:7">
      <c r="A4" s="12"/>
      <c r="B4" s="12" t="s">
        <v>28</v>
      </c>
      <c r="C4" s="5" t="str">
        <v>線上</v>
      </c>
    </row>
    <row r="5" spans="1:7">
      <c r="A5" s="12"/>
      <c r="B5" s="12" t="s">
        <v>21</v>
      </c>
      <c r="C5" s="5" t="str">
        <v>睿均</v>
      </c>
    </row>
    <row r="6" spans="1:7">
      <c r="A6" s="12"/>
      <c r="B6" s="12" t="s">
        <v>22</v>
      </c>
      <c r="C6" s="5" t="str">
        <v>不良品</v>
      </c>
    </row>
    <row r="7" spans="1:7">
      <c r="A7" s="12"/>
      <c r="B7" s="12"/>
    </row>
  </sheetData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DCD7A-396C-4A77-95FE-72823DAD690C}">
  <sheetPr codeName="工作表8"/>
  <dimension ref="A1:F27"/>
  <sheetViews>
    <sheetView zoomScale="85" zoomScaleNormal="85" workbookViewId="0">
      <selection activeCell="C5" sqref="C5"/>
    </sheetView>
  </sheetViews>
  <sheetFormatPr defaultRowHeight="16.2" customHeight="1"/>
  <cols>
    <col min="1" max="1" width="20.25" style="48" bestFit="1" customWidth="1"/>
    <col min="2" max="2" width="49.5" style="46" bestFit="1" customWidth="1"/>
    <col min="3" max="3" width="19.625" style="47" bestFit="1" customWidth="1"/>
    <col min="4" max="4" width="95.375" style="46" bestFit="1" customWidth="1"/>
    <col min="5" max="5" width="6.75" style="46" bestFit="1" customWidth="1"/>
    <col min="6" max="6" width="9.625" style="46" bestFit="1" customWidth="1"/>
    <col min="7" max="16384" width="9" style="46"/>
  </cols>
  <sheetData>
    <row r="1" spans="1:6" ht="16.2" customHeight="1">
      <c r="A1" s="41" t="s">
        <v>48</v>
      </c>
      <c r="B1" s="37" t="s">
        <v>49</v>
      </c>
      <c r="C1" s="41">
        <v>99</v>
      </c>
      <c r="D1" s="38" t="s">
        <v>50</v>
      </c>
      <c r="E1" s="36">
        <v>1</v>
      </c>
      <c r="F1" s="36" t="s">
        <v>51</v>
      </c>
    </row>
    <row r="2" spans="1:6" ht="16.2" customHeight="1">
      <c r="A2" s="41" t="s">
        <v>48</v>
      </c>
      <c r="B2" s="37" t="s">
        <v>49</v>
      </c>
      <c r="C2" s="41" t="s">
        <v>52</v>
      </c>
      <c r="D2" s="38" t="s">
        <v>53</v>
      </c>
      <c r="E2" s="36">
        <v>4</v>
      </c>
      <c r="F2" s="36" t="s">
        <v>51</v>
      </c>
    </row>
    <row r="3" spans="1:6" ht="16.2" customHeight="1">
      <c r="A3" s="41" t="s">
        <v>48</v>
      </c>
      <c r="B3" s="37" t="s">
        <v>49</v>
      </c>
      <c r="C3" s="41" t="s">
        <v>54</v>
      </c>
      <c r="D3" s="38" t="s">
        <v>55</v>
      </c>
      <c r="E3" s="36">
        <v>4</v>
      </c>
      <c r="F3" s="36" t="s">
        <v>51</v>
      </c>
    </row>
    <row r="4" spans="1:6" ht="16.2" customHeight="1">
      <c r="A4" s="41" t="s">
        <v>48</v>
      </c>
      <c r="B4" s="37" t="s">
        <v>49</v>
      </c>
      <c r="C4" s="41" t="s">
        <v>56</v>
      </c>
      <c r="D4" s="38" t="s">
        <v>57</v>
      </c>
      <c r="E4" s="36">
        <v>4</v>
      </c>
      <c r="F4" s="36" t="s">
        <v>51</v>
      </c>
    </row>
    <row r="5" spans="1:6" ht="16.2" customHeight="1">
      <c r="A5" s="41" t="s">
        <v>48</v>
      </c>
      <c r="B5" s="37" t="s">
        <v>49</v>
      </c>
      <c r="C5" s="42">
        <v>315600821002</v>
      </c>
      <c r="D5" s="38" t="s">
        <v>53</v>
      </c>
      <c r="E5" s="36">
        <v>50</v>
      </c>
      <c r="F5" s="36" t="s">
        <v>58</v>
      </c>
    </row>
    <row r="6" spans="1:6" ht="16.2" customHeight="1">
      <c r="A6" s="41" t="s">
        <v>48</v>
      </c>
      <c r="B6" s="37" t="s">
        <v>49</v>
      </c>
      <c r="C6" s="42" t="s">
        <v>54</v>
      </c>
      <c r="D6" s="38" t="s">
        <v>55</v>
      </c>
      <c r="E6" s="36">
        <v>50</v>
      </c>
      <c r="F6" s="36" t="s">
        <v>58</v>
      </c>
    </row>
    <row r="7" spans="1:6" ht="16.2" customHeight="1">
      <c r="A7" s="41" t="s">
        <v>48</v>
      </c>
      <c r="B7" s="37" t="s">
        <v>49</v>
      </c>
      <c r="C7" s="42" t="s">
        <v>56</v>
      </c>
      <c r="D7" s="38" t="s">
        <v>57</v>
      </c>
      <c r="E7" s="36">
        <v>50</v>
      </c>
      <c r="F7" s="36" t="s">
        <v>58</v>
      </c>
    </row>
    <row r="8" spans="1:6" ht="16.2" customHeight="1">
      <c r="A8" s="41" t="s">
        <v>48</v>
      </c>
      <c r="B8" s="37" t="s">
        <v>49</v>
      </c>
      <c r="C8" s="41">
        <v>99</v>
      </c>
      <c r="D8" s="38" t="s">
        <v>73</v>
      </c>
      <c r="E8" s="36">
        <v>4</v>
      </c>
      <c r="F8" s="36" t="s">
        <v>58</v>
      </c>
    </row>
    <row r="9" spans="1:6" ht="16.2" customHeight="1">
      <c r="A9" s="41" t="s">
        <v>48</v>
      </c>
      <c r="B9" s="37" t="s">
        <v>49</v>
      </c>
      <c r="C9" s="41">
        <v>99</v>
      </c>
      <c r="D9" s="38" t="s">
        <v>59</v>
      </c>
      <c r="E9" s="36">
        <v>50</v>
      </c>
      <c r="F9" s="36" t="s">
        <v>58</v>
      </c>
    </row>
    <row r="10" spans="1:6" ht="16.2" customHeight="1">
      <c r="A10" s="41" t="s">
        <v>48</v>
      </c>
      <c r="B10" s="37" t="s">
        <v>49</v>
      </c>
      <c r="C10" s="41">
        <v>99</v>
      </c>
      <c r="D10" s="38" t="s">
        <v>74</v>
      </c>
      <c r="E10" s="36">
        <v>4</v>
      </c>
      <c r="F10" s="36" t="s">
        <v>58</v>
      </c>
    </row>
    <row r="11" spans="1:6" ht="16.2" customHeight="1">
      <c r="A11" s="41" t="s">
        <v>48</v>
      </c>
      <c r="B11" s="37" t="s">
        <v>49</v>
      </c>
      <c r="C11" s="41">
        <v>99</v>
      </c>
      <c r="D11" s="35" t="s">
        <v>60</v>
      </c>
      <c r="E11" s="35">
        <v>6</v>
      </c>
      <c r="F11" s="36" t="s">
        <v>61</v>
      </c>
    </row>
    <row r="12" spans="1:6" ht="16.2" customHeight="1">
      <c r="A12" s="41" t="s">
        <v>48</v>
      </c>
      <c r="B12" s="37" t="s">
        <v>49</v>
      </c>
      <c r="C12" s="41">
        <v>99</v>
      </c>
      <c r="D12" s="35" t="s">
        <v>62</v>
      </c>
      <c r="E12" s="35">
        <v>12</v>
      </c>
      <c r="F12" s="36" t="s">
        <v>61</v>
      </c>
    </row>
    <row r="13" spans="1:6" ht="16.2" customHeight="1">
      <c r="A13" s="41" t="s">
        <v>48</v>
      </c>
      <c r="B13" s="37" t="s">
        <v>49</v>
      </c>
      <c r="C13" s="41">
        <v>99</v>
      </c>
      <c r="D13" s="35" t="s">
        <v>63</v>
      </c>
      <c r="E13" s="35">
        <v>12</v>
      </c>
      <c r="F13" s="36" t="s">
        <v>61</v>
      </c>
    </row>
    <row r="14" spans="1:6" ht="16.2" customHeight="1">
      <c r="A14" s="41" t="s">
        <v>48</v>
      </c>
      <c r="B14" s="37" t="s">
        <v>49</v>
      </c>
      <c r="C14" s="42" t="s">
        <v>54</v>
      </c>
      <c r="D14" s="38" t="s">
        <v>79</v>
      </c>
      <c r="E14" s="38">
        <v>6</v>
      </c>
      <c r="F14" s="36" t="s">
        <v>61</v>
      </c>
    </row>
    <row r="15" spans="1:6" ht="16.2" customHeight="1">
      <c r="A15" s="41" t="s">
        <v>48</v>
      </c>
      <c r="B15" s="37" t="s">
        <v>49</v>
      </c>
      <c r="C15" s="42" t="s">
        <v>56</v>
      </c>
      <c r="D15" s="38" t="s">
        <v>78</v>
      </c>
      <c r="E15" s="38">
        <v>6</v>
      </c>
      <c r="F15" s="36" t="s">
        <v>61</v>
      </c>
    </row>
    <row r="16" spans="1:6" ht="16.2" customHeight="1">
      <c r="A16" s="41" t="s">
        <v>48</v>
      </c>
      <c r="B16" s="37" t="s">
        <v>49</v>
      </c>
      <c r="C16" s="42" t="s">
        <v>64</v>
      </c>
      <c r="D16" s="38" t="s">
        <v>65</v>
      </c>
      <c r="E16" s="38">
        <v>6</v>
      </c>
      <c r="F16" s="36" t="s">
        <v>61</v>
      </c>
    </row>
    <row r="17" spans="1:6" ht="16.2" customHeight="1">
      <c r="A17" s="41" t="s">
        <v>48</v>
      </c>
      <c r="B17" s="37" t="s">
        <v>49</v>
      </c>
      <c r="C17" s="42" t="s">
        <v>66</v>
      </c>
      <c r="D17" s="38" t="s">
        <v>67</v>
      </c>
      <c r="E17" s="38">
        <v>6</v>
      </c>
      <c r="F17" s="36" t="s">
        <v>61</v>
      </c>
    </row>
    <row r="18" spans="1:6" ht="16.2" customHeight="1">
      <c r="A18" s="41" t="s">
        <v>48</v>
      </c>
      <c r="B18" s="37" t="s">
        <v>49</v>
      </c>
      <c r="C18" s="41">
        <v>99</v>
      </c>
      <c r="D18" s="38" t="s">
        <v>68</v>
      </c>
      <c r="E18" s="38">
        <v>12</v>
      </c>
      <c r="F18" s="36" t="s">
        <v>61</v>
      </c>
    </row>
    <row r="19" spans="1:6" ht="16.2" customHeight="1">
      <c r="A19" s="41" t="s">
        <v>48</v>
      </c>
      <c r="B19" s="37" t="s">
        <v>49</v>
      </c>
      <c r="C19" s="41">
        <v>99</v>
      </c>
      <c r="D19" s="38" t="s">
        <v>69</v>
      </c>
      <c r="E19" s="38">
        <v>6</v>
      </c>
      <c r="F19" s="36" t="s">
        <v>61</v>
      </c>
    </row>
    <row r="20" spans="1:6" ht="16.2" customHeight="1">
      <c r="A20" s="41" t="s">
        <v>48</v>
      </c>
      <c r="B20" s="37" t="s">
        <v>49</v>
      </c>
      <c r="C20" s="41">
        <v>99</v>
      </c>
      <c r="D20" s="38" t="s">
        <v>70</v>
      </c>
      <c r="E20" s="38">
        <v>6</v>
      </c>
      <c r="F20" s="36" t="s">
        <v>61</v>
      </c>
    </row>
    <row r="21" spans="1:6" ht="16.2" customHeight="1">
      <c r="A21" s="41" t="s">
        <v>48</v>
      </c>
      <c r="B21" s="37" t="s">
        <v>49</v>
      </c>
      <c r="C21" s="41">
        <v>99</v>
      </c>
      <c r="D21" s="39" t="s">
        <v>71</v>
      </c>
      <c r="E21" s="38">
        <v>6</v>
      </c>
      <c r="F21" s="40" t="s">
        <v>61</v>
      </c>
    </row>
    <row r="22" spans="1:6" ht="16.2" customHeight="1">
      <c r="A22" s="41" t="s">
        <v>48</v>
      </c>
      <c r="B22" s="37" t="s">
        <v>49</v>
      </c>
      <c r="C22" s="42" t="s">
        <v>54</v>
      </c>
      <c r="D22" s="39" t="s">
        <v>55</v>
      </c>
      <c r="E22" s="38">
        <v>32</v>
      </c>
      <c r="F22" s="40" t="s">
        <v>72</v>
      </c>
    </row>
    <row r="23" spans="1:6" ht="16.2" customHeight="1">
      <c r="A23" s="41" t="s">
        <v>48</v>
      </c>
      <c r="B23" s="37" t="s">
        <v>49</v>
      </c>
      <c r="C23" s="42" t="s">
        <v>56</v>
      </c>
      <c r="D23" s="39" t="s">
        <v>57</v>
      </c>
      <c r="E23" s="38">
        <v>32</v>
      </c>
      <c r="F23" s="40" t="s">
        <v>72</v>
      </c>
    </row>
    <row r="24" spans="1:6" ht="16.2" customHeight="1">
      <c r="A24" s="41" t="s">
        <v>48</v>
      </c>
      <c r="B24" s="37" t="s">
        <v>49</v>
      </c>
      <c r="C24" s="43" t="s">
        <v>76</v>
      </c>
      <c r="D24" s="38" t="s">
        <v>77</v>
      </c>
      <c r="E24" s="38">
        <v>32</v>
      </c>
      <c r="F24" s="36" t="s">
        <v>72</v>
      </c>
    </row>
    <row r="25" spans="1:6" ht="16.2" customHeight="1">
      <c r="A25" s="41" t="s">
        <v>48</v>
      </c>
      <c r="B25" s="37" t="s">
        <v>49</v>
      </c>
      <c r="C25" s="43" t="s">
        <v>52</v>
      </c>
      <c r="D25" s="38" t="s">
        <v>53</v>
      </c>
      <c r="E25" s="38">
        <v>32</v>
      </c>
      <c r="F25" s="36" t="s">
        <v>72</v>
      </c>
    </row>
    <row r="26" spans="1:6" ht="16.2" customHeight="1">
      <c r="A26" s="41" t="s">
        <v>48</v>
      </c>
      <c r="B26" s="37" t="s">
        <v>49</v>
      </c>
      <c r="C26" s="41">
        <v>99</v>
      </c>
      <c r="D26" s="38" t="s">
        <v>75</v>
      </c>
      <c r="E26" s="38">
        <v>32</v>
      </c>
      <c r="F26" s="36" t="s">
        <v>72</v>
      </c>
    </row>
    <row r="27" spans="1:6" ht="16.2" customHeight="1">
      <c r="A27" s="48">
        <v>101057800701</v>
      </c>
      <c r="B27" s="46">
        <v>33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ignoredErrors>
    <ignoredError sqref="C2:C4 A1 C25 A2:A26 C14:C17 C22:C23 C6:C7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A12AF-C6B4-4F43-991F-C830B0E3F48F}">
  <sheetPr codeName="工作表7"/>
  <dimension ref="A1:D8"/>
  <sheetViews>
    <sheetView workbookViewId="0">
      <selection activeCell="L26" sqref="L26"/>
    </sheetView>
  </sheetViews>
  <sheetFormatPr defaultRowHeight="15"/>
  <cols>
    <col min="1" max="1" width="9.75" bestFit="1" customWidth="1"/>
    <col min="2" max="2" width="62.875" bestFit="1" customWidth="1"/>
    <col min="3" max="3" width="28.75" bestFit="1" customWidth="1"/>
  </cols>
  <sheetData>
    <row r="1" spans="1:4">
      <c r="A1" s="34" t="s">
        <v>0</v>
      </c>
      <c r="B1" s="5" t="s">
        <v>37</v>
      </c>
      <c r="C1" s="5" t="s">
        <v>38</v>
      </c>
      <c r="D1" s="5" t="s">
        <v>82</v>
      </c>
    </row>
    <row r="2" spans="1:4">
      <c r="A2" s="9">
        <v>45670</v>
      </c>
      <c r="B2" s="33" t="s">
        <v>29</v>
      </c>
      <c r="C2" s="5"/>
      <c r="D2" s="5" t="s">
        <v>81</v>
      </c>
    </row>
    <row r="3" spans="1:4">
      <c r="A3" s="9">
        <v>45671</v>
      </c>
      <c r="B3" s="33" t="s">
        <v>24</v>
      </c>
      <c r="C3" s="5"/>
      <c r="D3" s="5" t="s">
        <v>83</v>
      </c>
    </row>
    <row r="4" spans="1:4">
      <c r="A4" s="9">
        <v>45672</v>
      </c>
      <c r="B4" s="33" t="s">
        <v>31</v>
      </c>
      <c r="C4" s="5"/>
      <c r="D4" s="5" t="s">
        <v>84</v>
      </c>
    </row>
    <row r="5" spans="1:4">
      <c r="A5" s="9">
        <v>45673</v>
      </c>
      <c r="B5" s="5" t="s">
        <v>32</v>
      </c>
      <c r="C5" s="5" t="s">
        <v>41</v>
      </c>
      <c r="D5" s="5" t="s">
        <v>85</v>
      </c>
    </row>
    <row r="6" spans="1:4">
      <c r="A6" s="9">
        <v>45674</v>
      </c>
      <c r="B6" s="33" t="s">
        <v>30</v>
      </c>
      <c r="C6" s="5" t="s">
        <v>39</v>
      </c>
      <c r="D6" s="5" t="s">
        <v>86</v>
      </c>
    </row>
    <row r="7" spans="1:4">
      <c r="A7" s="9">
        <v>45677</v>
      </c>
      <c r="B7" s="5" t="s">
        <v>33</v>
      </c>
      <c r="C7" s="5"/>
      <c r="D7" s="5" t="s">
        <v>87</v>
      </c>
    </row>
    <row r="8" spans="1:4">
      <c r="A8" s="9">
        <v>45678</v>
      </c>
      <c r="B8" s="5" t="s">
        <v>36</v>
      </c>
      <c r="C8" s="5" t="s">
        <v>40</v>
      </c>
      <c r="D8" s="5" t="s">
        <v>88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1</vt:i4>
      </vt:variant>
    </vt:vector>
  </HeadingPairs>
  <TitlesOfParts>
    <vt:vector size="11" baseType="lpstr">
      <vt:lpstr>首頁</vt:lpstr>
      <vt:lpstr>BOM分站</vt:lpstr>
      <vt:lpstr>出入庫</vt:lpstr>
      <vt:lpstr>治具庫</vt:lpstr>
      <vt:lpstr>線上</vt:lpstr>
      <vt:lpstr>睿均</vt:lpstr>
      <vt:lpstr>不良品</vt:lpstr>
      <vt:lpstr>數據庫</vt:lpstr>
      <vt:lpstr>BOM DB</vt:lpstr>
      <vt:lpstr>Log</vt:lpstr>
      <vt:lpstr>庫存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謝瑞平</dc:creator>
  <cp:lastModifiedBy>user</cp:lastModifiedBy>
  <dcterms:created xsi:type="dcterms:W3CDTF">2015-06-05T18:19:34Z</dcterms:created>
  <dcterms:modified xsi:type="dcterms:W3CDTF">2025-01-22T11:35:07Z</dcterms:modified>
</cp:coreProperties>
</file>